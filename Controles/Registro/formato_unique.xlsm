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BM_ADMIN\Desktop\"/>
    </mc:Choice>
  </mc:AlternateContent>
  <bookViews>
    <workbookView xWindow="0" yWindow="0" windowWidth="15360" windowHeight="7530" tabRatio="488"/>
  </bookViews>
  <sheets>
    <sheet name="SCHEDULE" sheetId="1" r:id="rId1"/>
  </sheets>
  <definedNames>
    <definedName name="_xlnm._FilterDatabase" localSheetId="0" hidden="1">SCHEDULE!$A$20:$AT$123</definedName>
    <definedName name="_Toc239502572" localSheetId="0">SCHEDULE!#REF!</definedName>
    <definedName name="_xlnm.Print_Area" localSheetId="0">SCHEDULE!$A$1:$AJ$123</definedName>
    <definedName name="_xlnm.Print_Titles" localSheetId="0">SCHEDULE!$1:$20</definedName>
  </definedNames>
  <calcPr calcId="171027"/>
</workbook>
</file>

<file path=xl/calcChain.xml><?xml version="1.0" encoding="utf-8"?>
<calcChain xmlns="http://schemas.openxmlformats.org/spreadsheetml/2006/main">
  <c r="O16" i="1" l="1"/>
  <c r="L108" i="1" l="1"/>
  <c r="AA56" i="1" l="1"/>
  <c r="L56" i="1"/>
  <c r="AA55" i="1"/>
  <c r="L55" i="1"/>
  <c r="AA51" i="1"/>
  <c r="L51" i="1"/>
  <c r="AA49" i="1"/>
  <c r="L49" i="1"/>
  <c r="AA45" i="1"/>
  <c r="L45" i="1"/>
  <c r="AA43" i="1"/>
  <c r="L43" i="1"/>
  <c r="AA41" i="1"/>
  <c r="L41" i="1"/>
  <c r="AA39" i="1"/>
  <c r="L39" i="1"/>
  <c r="AR82" i="1" l="1"/>
  <c r="AA82" i="1"/>
  <c r="L82" i="1"/>
  <c r="AA73" i="1"/>
  <c r="L73" i="1"/>
  <c r="AA53" i="1"/>
  <c r="L53" i="1"/>
  <c r="AA48" i="1"/>
  <c r="L48" i="1"/>
  <c r="AR47" i="1"/>
  <c r="AA47" i="1"/>
  <c r="L47" i="1"/>
  <c r="AA46" i="1"/>
  <c r="L46" i="1"/>
  <c r="AA37" i="1"/>
  <c r="L37" i="1"/>
  <c r="AA36" i="1"/>
  <c r="L36" i="1"/>
  <c r="AA57" i="1"/>
  <c r="L57" i="1"/>
  <c r="AA52" i="1"/>
  <c r="L52" i="1"/>
  <c r="AA44" i="1"/>
  <c r="L44" i="1"/>
  <c r="AA40" i="1"/>
  <c r="L40" i="1"/>
  <c r="AA50" i="1"/>
  <c r="L50" i="1"/>
  <c r="AA42" i="1"/>
  <c r="L42" i="1"/>
  <c r="AA54" i="1"/>
  <c r="L54" i="1"/>
  <c r="AA38" i="1"/>
  <c r="L38" i="1"/>
  <c r="AR81" i="1" l="1"/>
  <c r="AA81" i="1"/>
  <c r="L81" i="1"/>
  <c r="AR80" i="1"/>
  <c r="AA80" i="1"/>
  <c r="L80" i="1"/>
  <c r="AR58" i="1"/>
  <c r="AA58" i="1"/>
  <c r="L58" i="1"/>
  <c r="AA33" i="1"/>
  <c r="L33" i="1"/>
  <c r="AR31" i="1"/>
  <c r="AA31" i="1"/>
  <c r="L31" i="1"/>
  <c r="AA27" i="1"/>
  <c r="L27" i="1"/>
  <c r="L119" i="1" l="1"/>
  <c r="L118" i="1"/>
  <c r="L107" i="1"/>
  <c r="AA22" i="1" l="1"/>
  <c r="AA23" i="1"/>
  <c r="AA24" i="1"/>
  <c r="AA25" i="1"/>
  <c r="AA26" i="1"/>
  <c r="AA28" i="1"/>
  <c r="AA29" i="1"/>
  <c r="AA30" i="1"/>
  <c r="AA32" i="1"/>
  <c r="AA34" i="1"/>
  <c r="AA35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4" i="1"/>
  <c r="AA75" i="1"/>
  <c r="AA76" i="1"/>
  <c r="AA77" i="1"/>
  <c r="AA78" i="1"/>
  <c r="AA79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9" i="1"/>
  <c r="AA110" i="1"/>
  <c r="AA111" i="1"/>
  <c r="AA112" i="1"/>
  <c r="AA113" i="1"/>
  <c r="AA114" i="1"/>
  <c r="AA115" i="1"/>
  <c r="AA116" i="1"/>
  <c r="AA117" i="1"/>
  <c r="AA120" i="1"/>
  <c r="AA121" i="1"/>
  <c r="AA122" i="1"/>
  <c r="AA123" i="1"/>
  <c r="AA21" i="1"/>
  <c r="L71" i="1" l="1"/>
  <c r="L105" i="1"/>
  <c r="L113" i="1"/>
  <c r="L99" i="1"/>
  <c r="L120" i="1" l="1"/>
  <c r="L123" i="1" l="1"/>
  <c r="L122" i="1"/>
  <c r="L121" i="1"/>
  <c r="L117" i="1"/>
  <c r="L116" i="1"/>
  <c r="L115" i="1"/>
  <c r="L114" i="1"/>
  <c r="L112" i="1"/>
  <c r="L111" i="1"/>
  <c r="L110" i="1"/>
  <c r="L109" i="1"/>
  <c r="L106" i="1"/>
  <c r="L104" i="1"/>
  <c r="L103" i="1"/>
  <c r="L102" i="1"/>
  <c r="L101" i="1"/>
  <c r="L100" i="1"/>
  <c r="L98" i="1"/>
  <c r="L97" i="1"/>
  <c r="L96" i="1"/>
  <c r="L95" i="1"/>
  <c r="L94" i="1"/>
  <c r="L93" i="1"/>
  <c r="L92" i="1"/>
  <c r="L91" i="1"/>
  <c r="L90" i="1"/>
  <c r="L89" i="1"/>
  <c r="L87" i="1"/>
  <c r="L86" i="1"/>
  <c r="L85" i="1"/>
  <c r="L84" i="1"/>
  <c r="L83" i="1"/>
  <c r="L79" i="1"/>
  <c r="L78" i="1"/>
  <c r="L77" i="1"/>
  <c r="L76" i="1"/>
  <c r="L75" i="1"/>
  <c r="L74" i="1"/>
  <c r="L72" i="1"/>
  <c r="L70" i="1"/>
  <c r="L69" i="1"/>
  <c r="L68" i="1"/>
  <c r="L67" i="1"/>
  <c r="L66" i="1"/>
  <c r="L65" i="1"/>
  <c r="L64" i="1"/>
  <c r="L63" i="1"/>
  <c r="L62" i="1"/>
  <c r="L61" i="1"/>
  <c r="L60" i="1"/>
  <c r="L59" i="1"/>
  <c r="L35" i="1"/>
  <c r="L34" i="1"/>
  <c r="L32" i="1"/>
  <c r="L30" i="1"/>
  <c r="L29" i="1"/>
  <c r="L28" i="1"/>
  <c r="L26" i="1"/>
  <c r="L25" i="1"/>
  <c r="L24" i="1"/>
  <c r="L23" i="1"/>
  <c r="L22" i="1"/>
  <c r="L21" i="1"/>
  <c r="P17" i="1" l="1"/>
  <c r="AR116" i="1" l="1"/>
  <c r="AR111" i="1" l="1"/>
  <c r="AR109" i="1"/>
  <c r="AR117" i="1"/>
  <c r="AR110" i="1"/>
  <c r="AR93" i="1"/>
  <c r="AR92" i="1"/>
  <c r="AR91" i="1"/>
  <c r="AR83" i="1"/>
  <c r="AR89" i="1"/>
  <c r="AR88" i="1"/>
  <c r="AR87" i="1"/>
  <c r="AR75" i="1"/>
  <c r="AR85" i="1"/>
  <c r="AR76" i="1"/>
  <c r="AR79" i="1"/>
  <c r="AR86" i="1"/>
  <c r="AR63" i="1"/>
  <c r="AR61" i="1"/>
  <c r="AR77" i="1"/>
  <c r="AR78" i="1"/>
  <c r="AR67" i="1"/>
</calcChain>
</file>

<file path=xl/sharedStrings.xml><?xml version="1.0" encoding="utf-8"?>
<sst xmlns="http://schemas.openxmlformats.org/spreadsheetml/2006/main" count="1701" uniqueCount="240">
  <si>
    <t>MONITOREO</t>
  </si>
  <si>
    <t>JUEVES</t>
  </si>
  <si>
    <t>MIERCOLES</t>
  </si>
  <si>
    <t>MARTES</t>
  </si>
  <si>
    <t>LUNES</t>
  </si>
  <si>
    <t>TURNO</t>
  </si>
  <si>
    <t>FECHA</t>
  </si>
  <si>
    <t>HORA</t>
  </si>
  <si>
    <t>CLIENTE</t>
  </si>
  <si>
    <t>ACTIVIDAD</t>
  </si>
  <si>
    <t>LUN</t>
  </si>
  <si>
    <t>MAR</t>
  </si>
  <si>
    <t>MIE</t>
  </si>
  <si>
    <t>JUE</t>
  </si>
  <si>
    <t>VIE</t>
  </si>
  <si>
    <t>SAB</t>
  </si>
  <si>
    <t>DOM</t>
  </si>
  <si>
    <t>DIAS DE LA SEMANA</t>
  </si>
  <si>
    <t>PROC.</t>
  </si>
  <si>
    <t>HORA INICIO</t>
  </si>
  <si>
    <t>HORA FIN</t>
  </si>
  <si>
    <t>DURACION TAREA</t>
  </si>
  <si>
    <t>INTERNO</t>
  </si>
  <si>
    <t>COMENTARIOS</t>
  </si>
  <si>
    <t>INICIALES OPERADOR</t>
  </si>
  <si>
    <t>DIA :</t>
  </si>
  <si>
    <t>TURNO :</t>
  </si>
  <si>
    <t>X</t>
  </si>
  <si>
    <t>SAP</t>
  </si>
  <si>
    <t xml:space="preserve">ARCHIVO EVIDENCIA </t>
  </si>
  <si>
    <t>UNQD 003
BCRS 023</t>
  </si>
  <si>
    <t>COORDINADOR DE GESTION</t>
  </si>
  <si>
    <t>INTER TURNOS</t>
  </si>
  <si>
    <t>HORA TERMINO</t>
  </si>
  <si>
    <t>MACRO TAREA</t>
  </si>
  <si>
    <t># MT</t>
  </si>
  <si>
    <t>TIPO</t>
  </si>
  <si>
    <t>SERVERS</t>
  </si>
  <si>
    <t>UNQO 016</t>
  </si>
  <si>
    <t>UNQO 017</t>
  </si>
  <si>
    <t>UNQO 010</t>
  </si>
  <si>
    <t>NOCHE UNIQUE</t>
  </si>
  <si>
    <t>MAÑANA UNIQUE</t>
  </si>
  <si>
    <t>TARDE UNIQUE</t>
  </si>
  <si>
    <t>Schedule UNIQUE GTS</t>
  </si>
  <si>
    <t>ESPECIALISTA SAP BASIS</t>
  </si>
  <si>
    <t>CONTROL DE BACKUPS</t>
  </si>
  <si>
    <t>ESPECIALISTA pSERIES</t>
  </si>
  <si>
    <t>NUM</t>
  </si>
  <si>
    <t>DOMINGO</t>
  </si>
  <si>
    <t>SABADO</t>
  </si>
  <si>
    <t>VIERNES</t>
  </si>
  <si>
    <t xml:space="preserve">
BCRS 003</t>
  </si>
  <si>
    <t>ESCALAMIENTO HORIZONTAL</t>
  </si>
  <si>
    <t>ESCALAMIENTO VERTICAL</t>
  </si>
  <si>
    <t>GERENTE DE PROYECTO</t>
  </si>
  <si>
    <t>DURACION DE TAREA</t>
  </si>
  <si>
    <t>HORA LIMITE</t>
  </si>
  <si>
    <t>Team</t>
  </si>
  <si>
    <t>UNIDAD</t>
  </si>
  <si>
    <t>º</t>
  </si>
  <si>
    <t>SEV</t>
  </si>
  <si>
    <t>TSM</t>
  </si>
  <si>
    <t>BCRS 003</t>
  </si>
  <si>
    <t>EN HORA</t>
  </si>
  <si>
    <t>M</t>
  </si>
  <si>
    <t>UNIQUE</t>
  </si>
  <si>
    <t>PLATAFORMA</t>
  </si>
  <si>
    <t>SYSTEM P</t>
  </si>
  <si>
    <t>REPORTE</t>
  </si>
  <si>
    <r>
      <t xml:space="preserve">SUIZA
</t>
    </r>
    <r>
      <rPr>
        <b/>
        <sz val="16"/>
        <rFont val="Tahoma"/>
        <family val="2"/>
      </rPr>
      <t>10.28.20.27</t>
    </r>
  </si>
  <si>
    <t>UNQO 022</t>
  </si>
  <si>
    <t>UNQO 023</t>
  </si>
  <si>
    <t>UNQO 024</t>
  </si>
  <si>
    <t>UNQO 026</t>
  </si>
  <si>
    <t>UNQO 027</t>
  </si>
  <si>
    <t>UNQO 028</t>
  </si>
  <si>
    <t>NA</t>
  </si>
  <si>
    <t>UNQO 032</t>
  </si>
  <si>
    <t>UNQO 037</t>
  </si>
  <si>
    <t>UNQ 035</t>
  </si>
  <si>
    <t>UNQ 037</t>
  </si>
  <si>
    <t>UNQO 035</t>
  </si>
  <si>
    <t>SYSTEM I</t>
  </si>
  <si>
    <r>
      <t xml:space="preserve">RP1
</t>
    </r>
    <r>
      <rPr>
        <b/>
        <sz val="16"/>
        <rFont val="Tahoma"/>
        <family val="2"/>
      </rPr>
      <t xml:space="preserve">10.28.3.195
</t>
    </r>
    <r>
      <rPr>
        <sz val="16"/>
        <rFont val="Tahoma"/>
        <family val="2"/>
      </rPr>
      <t>RQ1</t>
    </r>
    <r>
      <rPr>
        <b/>
        <sz val="16"/>
        <rFont val="Tahoma"/>
        <family val="2"/>
      </rPr>
      <t xml:space="preserve">
10.28.3.200</t>
    </r>
  </si>
  <si>
    <t>BACKUPS</t>
  </si>
  <si>
    <t>SYSTEM P / SAP</t>
  </si>
  <si>
    <r>
      <t xml:space="preserve">UNQSIFCM
</t>
    </r>
    <r>
      <rPr>
        <b/>
        <sz val="16"/>
        <rFont val="Verdana"/>
        <family val="2"/>
      </rPr>
      <t>10.28.8.44</t>
    </r>
  </si>
  <si>
    <r>
      <t xml:space="preserve">UNQSISUMMITTST
</t>
    </r>
    <r>
      <rPr>
        <b/>
        <sz val="16"/>
        <rFont val="Tahoma"/>
        <family val="2"/>
      </rPr>
      <t>10.28.8.47</t>
    </r>
  </si>
  <si>
    <t>GESTOR / OPERADOR 01 :</t>
  </si>
  <si>
    <t>GESTOR / OPERADOR 02 :</t>
  </si>
  <si>
    <t>ESTADO DE TAREA</t>
  </si>
  <si>
    <t>TIEMPOS ESTIMADOS</t>
  </si>
  <si>
    <t>SERVICIO</t>
  </si>
  <si>
    <t>SOA</t>
  </si>
  <si>
    <t>x</t>
  </si>
  <si>
    <r>
      <t xml:space="preserve">TD1
YANARTMDEVQA
</t>
    </r>
    <r>
      <rPr>
        <b/>
        <sz val="16"/>
        <rFont val="Verdana"/>
        <family val="2"/>
      </rPr>
      <t>10.28.21.98</t>
    </r>
  </si>
  <si>
    <r>
      <t xml:space="preserve">AP1
YanbalAP1
</t>
    </r>
    <r>
      <rPr>
        <b/>
        <sz val="16"/>
        <rFont val="Verdana"/>
        <family val="2"/>
      </rPr>
      <t>10.28.3.194</t>
    </r>
  </si>
  <si>
    <r>
      <t xml:space="preserve">RD1
yanbalRD1
</t>
    </r>
    <r>
      <rPr>
        <b/>
        <sz val="16"/>
        <rFont val="Verdana"/>
        <family val="2"/>
      </rPr>
      <t>10.28.3.196</t>
    </r>
  </si>
  <si>
    <r>
      <t xml:space="preserve">RQ1
yanbalRQ1
</t>
    </r>
    <r>
      <rPr>
        <b/>
        <sz val="16"/>
        <rFont val="Tahoma"/>
        <family val="2"/>
      </rPr>
      <t>10.28.3.200</t>
    </r>
  </si>
  <si>
    <r>
      <t xml:space="preserve">TP1
yanbalTP1
</t>
    </r>
    <r>
      <rPr>
        <b/>
        <sz val="16"/>
        <rFont val="Verdana"/>
        <family val="2"/>
      </rPr>
      <t>10.28.21.106</t>
    </r>
  </si>
  <si>
    <r>
      <t xml:space="preserve">BD1
sapbw008
</t>
    </r>
    <r>
      <rPr>
        <b/>
        <sz val="16"/>
        <rFont val="Tahoma"/>
        <family val="2"/>
      </rPr>
      <t>10.28.20.198</t>
    </r>
  </si>
  <si>
    <r>
      <t xml:space="preserve">TQ1
YANARTMDEVQA
</t>
    </r>
    <r>
      <rPr>
        <b/>
        <sz val="16"/>
        <rFont val="Verdana"/>
        <family val="2"/>
      </rPr>
      <t>10.28.21.98</t>
    </r>
  </si>
  <si>
    <t>JUAN CARRASCO - JC</t>
  </si>
  <si>
    <t>JEAN RIVERA - JR</t>
  </si>
  <si>
    <t>RAUL MURILLO - RM</t>
  </si>
  <si>
    <r>
      <t xml:space="preserve">BP1
UNQSAPBWPRD
</t>
    </r>
    <r>
      <rPr>
        <b/>
        <sz val="16"/>
        <rFont val="Tahoma"/>
        <family val="2"/>
      </rPr>
      <t>10.28.20.227</t>
    </r>
  </si>
  <si>
    <r>
      <t xml:space="preserve">BQ1
UNQSAPBWQAS
</t>
    </r>
    <r>
      <rPr>
        <b/>
        <sz val="16"/>
        <rFont val="Tahoma"/>
        <family val="2"/>
      </rPr>
      <t>10.28.20.228</t>
    </r>
  </si>
  <si>
    <t>STEVE DE LA CRUZ - SD</t>
  </si>
  <si>
    <t>C.Lopez</t>
  </si>
  <si>
    <t>R.Murillo</t>
  </si>
  <si>
    <t>L.Palomino</t>
  </si>
  <si>
    <t xml:space="preserve">ESCALAMIENTO </t>
  </si>
  <si>
    <t>MATRIZ</t>
  </si>
  <si>
    <t>Matriz de esclamiento UNQD 012</t>
  </si>
  <si>
    <t>UNQO 060</t>
  </si>
  <si>
    <r>
      <t xml:space="preserve">unqsinimmaster
</t>
    </r>
    <r>
      <rPr>
        <b/>
        <sz val="16"/>
        <rFont val="Verdana"/>
        <family val="2"/>
      </rPr>
      <t>10.28.8.45</t>
    </r>
  </si>
  <si>
    <t>UNQSIFCM
10.28.8.44</t>
  </si>
  <si>
    <t>VERIFICAR FIN DE LA MALLA POR TWS : UNQSABMNT001 - MALLA DE MANTENIMIENTO PREVENTIVO DE SERVIDORES AIX</t>
  </si>
  <si>
    <t>GENERAR Y SUBIR AL FILE SERVER EL SCHEDULE DIARIO</t>
  </si>
  <si>
    <t>EJECUCION</t>
  </si>
  <si>
    <t>CATEGORIA</t>
  </si>
  <si>
    <t xml:space="preserve">EJECUCION </t>
  </si>
  <si>
    <t>DESACTIVACION / ACTIVACION</t>
  </si>
  <si>
    <t>EJECUTAR</t>
  </si>
  <si>
    <t>TNO</t>
  </si>
  <si>
    <t xml:space="preserve">MTA       </t>
  </si>
  <si>
    <t>UNQO 066</t>
  </si>
  <si>
    <t>MAXIMO 7</t>
  </si>
  <si>
    <t>Mario Diaz</t>
  </si>
  <si>
    <t>Raúl Murillo</t>
  </si>
  <si>
    <r>
      <t xml:space="preserve">VERIFICAR INICIO DE LA MALLA POR TWS : UNQDOMMNT001 - MALLA DE MANTENIMIENTO PREVENTIVO DE SERVIDORES AIX
</t>
    </r>
    <r>
      <rPr>
        <b/>
        <sz val="18"/>
        <color theme="9" tint="-0.499984740745262"/>
        <rFont val="Tahoma"/>
        <family val="2"/>
      </rPr>
      <t/>
    </r>
  </si>
  <si>
    <t>PEDRO ANCHANTE - PA</t>
  </si>
  <si>
    <t xml:space="preserve">NOCHE </t>
  </si>
  <si>
    <t xml:space="preserve">MAÑANA </t>
  </si>
  <si>
    <t xml:space="preserve">TARDE </t>
  </si>
  <si>
    <t xml:space="preserve">MAÑANA-TARDE </t>
  </si>
  <si>
    <t xml:space="preserve">TARDE-NOCHE </t>
  </si>
  <si>
    <t>GUILLERMO CARDENA - GC</t>
  </si>
  <si>
    <r>
      <rPr>
        <b/>
        <sz val="16"/>
        <color rgb="FF002060"/>
        <rFont val="Verdana"/>
        <family val="2"/>
      </rPr>
      <t>MONITOREO POR TWS:</t>
    </r>
    <r>
      <rPr>
        <sz val="16"/>
        <rFont val="Verdana"/>
        <family val="2"/>
      </rPr>
      <t xml:space="preserve"> </t>
    </r>
    <r>
      <rPr>
        <b/>
        <sz val="16"/>
        <rFont val="Verdana"/>
        <family val="2"/>
      </rPr>
      <t>4TO SABADO DEL MES - Ejecucion backup mksysb a TSM por TWS</t>
    </r>
    <r>
      <rPr>
        <sz val="16"/>
        <rFont val="Verdana"/>
        <family val="2"/>
      </rPr>
      <t xml:space="preserve">
</t>
    </r>
    <r>
      <rPr>
        <b/>
        <sz val="16"/>
        <color rgb="FF000099"/>
        <rFont val="Verdana"/>
        <family val="2"/>
      </rPr>
      <t>VERIFICAR INICIO Y FIN DE LA MALLA: UNQSINBKPMKS001</t>
    </r>
    <r>
      <rPr>
        <sz val="16"/>
        <rFont val="Verdana"/>
        <family val="2"/>
      </rPr>
      <t xml:space="preserve">
</t>
    </r>
  </si>
  <si>
    <r>
      <rPr>
        <b/>
        <sz val="16"/>
        <color rgb="FF002060"/>
        <rFont val="Tahoma"/>
        <family val="2"/>
      </rPr>
      <t>VERIFICAR INICIO DE LA MALLA POR TWS : UNQSABMNT001 - MALLA DE MANTENIMIENTO PREVENTIVO DE SERVIDORES AIX</t>
    </r>
    <r>
      <rPr>
        <b/>
        <sz val="16"/>
        <color indexed="17"/>
        <rFont val="Tahoma"/>
        <family val="2"/>
      </rPr>
      <t xml:space="preserve">
</t>
    </r>
    <r>
      <rPr>
        <b/>
        <sz val="18"/>
        <color theme="9" tint="-0.499984740745262"/>
        <rFont val="Tahoma"/>
        <family val="2"/>
      </rPr>
      <t/>
    </r>
  </si>
  <si>
    <r>
      <t>ELABORACION DE INFORME SEMANAL DE UTILIZACION DE DISCOS EN EL SERVIDOR DE UNQSISUMMITTST</t>
    </r>
    <r>
      <rPr>
        <b/>
        <sz val="16"/>
        <rFont val="Verdana"/>
        <family val="2"/>
      </rPr>
      <t>.</t>
    </r>
    <r>
      <rPr>
        <sz val="16"/>
        <rFont val="Verdana"/>
        <family val="2"/>
      </rPr>
      <t xml:space="preserve"> </t>
    </r>
    <r>
      <rPr>
        <b/>
        <sz val="16"/>
        <color rgb="FF000066"/>
        <rFont val="Verdana"/>
        <family val="2"/>
      </rPr>
      <t xml:space="preserve">ENVIAR POR CORREO A: Operador Unique
</t>
    </r>
    <r>
      <rPr>
        <b/>
        <sz val="16"/>
        <color rgb="FF336600"/>
        <rFont val="Verdana"/>
        <family val="2"/>
      </rPr>
      <t>VERIFICAR FIN DE LA MALLA POR TWS : UNQTSTREPORTEDIS</t>
    </r>
    <r>
      <rPr>
        <b/>
        <sz val="16"/>
        <rFont val="Verdana"/>
        <family val="2"/>
      </rPr>
      <t xml:space="preserve">
</t>
    </r>
  </si>
  <si>
    <r>
      <t>PRIMER SABADO DEL MES:
MONITOREO POR TWS :</t>
    </r>
    <r>
      <rPr>
        <sz val="16"/>
        <rFont val="Tahoma"/>
        <family val="2"/>
      </rPr>
      <t xml:space="preserve">DESACTIVACION DE SERVICIOS DE LA INSTANCIA </t>
    </r>
    <r>
      <rPr>
        <b/>
        <sz val="16"/>
        <color indexed="10"/>
        <rFont val="Tahoma"/>
        <family val="2"/>
      </rPr>
      <t>ECC</t>
    </r>
    <r>
      <rPr>
        <sz val="16"/>
        <rFont val="Tahoma"/>
        <family val="2"/>
      </rPr>
      <t xml:space="preserve"> PARA</t>
    </r>
    <r>
      <rPr>
        <b/>
        <sz val="16"/>
        <color indexed="56"/>
        <rFont val="Tahoma"/>
        <family val="2"/>
      </rPr>
      <t xml:space="preserve"> </t>
    </r>
    <r>
      <rPr>
        <b/>
        <sz val="16"/>
        <color indexed="10"/>
        <rFont val="Tahoma"/>
        <family val="2"/>
      </rPr>
      <t xml:space="preserve">BACKUP OFFLINE QUE SE EJECUTA EN EL SERVIDOR RQ1         </t>
    </r>
  </si>
  <si>
    <r>
      <t xml:space="preserve">PRIMER SABADO DEL MES:
MONITOREO POR TWS: </t>
    </r>
    <r>
      <rPr>
        <sz val="16"/>
        <rFont val="Tahoma"/>
        <family val="2"/>
      </rPr>
      <t xml:space="preserve">EJECUCION DE </t>
    </r>
    <r>
      <rPr>
        <b/>
        <sz val="16"/>
        <color indexed="10"/>
        <rFont val="Tahoma"/>
        <family val="2"/>
      </rPr>
      <t>BACKUP OFFLINE MENSUAL                                      
NOTA: SE EJECUTA EN EL SERVIDOR RQ1</t>
    </r>
  </si>
  <si>
    <r>
      <t xml:space="preserve">PRIMER SABADO DEL MES:
</t>
    </r>
    <r>
      <rPr>
        <sz val="16"/>
        <rFont val="Tahoma"/>
        <family val="2"/>
      </rPr>
      <t xml:space="preserve">MONITOREO DE </t>
    </r>
    <r>
      <rPr>
        <b/>
        <sz val="16"/>
        <color indexed="10"/>
        <rFont val="Tahoma"/>
        <family val="2"/>
      </rPr>
      <t xml:space="preserve">BACKUP OFFLINE MENSUAL POR TWS                                    </t>
    </r>
  </si>
  <si>
    <r>
      <t xml:space="preserve">PRIMER SABADO DEL MES:
</t>
    </r>
    <r>
      <rPr>
        <sz val="16"/>
        <rFont val="Tahoma"/>
        <family val="2"/>
      </rPr>
      <t xml:space="preserve">MONITOREO DE </t>
    </r>
    <r>
      <rPr>
        <b/>
        <sz val="16"/>
        <color indexed="10"/>
        <rFont val="Tahoma"/>
        <family val="2"/>
      </rPr>
      <t xml:space="preserve">BACKUP OFFLINE MENSUAL POR TWS                                     </t>
    </r>
  </si>
  <si>
    <r>
      <t xml:space="preserve">PRIMER SABADO DEL MES:
MONITOREO POR TWS: </t>
    </r>
    <r>
      <rPr>
        <sz val="16"/>
        <rFont val="Tahoma"/>
        <family val="2"/>
      </rPr>
      <t xml:space="preserve">VERIFICAR LA CORRECTA FINALIZACIÓN DE </t>
    </r>
    <r>
      <rPr>
        <b/>
        <sz val="16"/>
        <color indexed="10"/>
        <rFont val="Tahoma"/>
        <family val="2"/>
      </rPr>
      <t xml:space="preserve">BACKUP OFFLINE MENSUAL                                      </t>
    </r>
  </si>
  <si>
    <r>
      <t xml:space="preserve">PRIMER SABADO DEL MES:
MONITOREO POR TWS: </t>
    </r>
    <r>
      <rPr>
        <sz val="16"/>
        <rFont val="Tahoma"/>
        <family val="2"/>
      </rPr>
      <t xml:space="preserve">ACTIVACION DE SERVICIOS DE LA INSTANCIA </t>
    </r>
    <r>
      <rPr>
        <b/>
        <sz val="16"/>
        <color indexed="10"/>
        <rFont val="Tahoma"/>
        <family val="2"/>
      </rPr>
      <t>ECC</t>
    </r>
    <r>
      <rPr>
        <sz val="16"/>
        <rFont val="Tahoma"/>
        <family val="2"/>
      </rPr>
      <t xml:space="preserve"> PARA</t>
    </r>
    <r>
      <rPr>
        <b/>
        <sz val="16"/>
        <color indexed="56"/>
        <rFont val="Tahoma"/>
        <family val="2"/>
      </rPr>
      <t xml:space="preserve"> </t>
    </r>
    <r>
      <rPr>
        <b/>
        <sz val="16"/>
        <color indexed="10"/>
        <rFont val="Tahoma"/>
        <family val="2"/>
      </rPr>
      <t xml:space="preserve">BACKUP OFFLINE QUE SE EJECUTA EN EL SERVIDOR RQ1         </t>
    </r>
  </si>
  <si>
    <r>
      <t xml:space="preserve">VERIFICAR INICIO Y TERMINO SATISFACTORIO DE </t>
    </r>
    <r>
      <rPr>
        <b/>
        <sz val="16"/>
        <color indexed="10"/>
        <rFont val="Tahoma"/>
        <family val="2"/>
      </rPr>
      <t xml:space="preserve">BACKUP SEMANAL DE LIBRERÍAS Y OBJETOS MODIFICADOS DE AMBIENTE DE </t>
    </r>
    <r>
      <rPr>
        <b/>
        <sz val="16"/>
        <color indexed="11"/>
        <rFont val="Tahoma"/>
        <family val="2"/>
      </rPr>
      <t>SUIZA</t>
    </r>
    <r>
      <rPr>
        <b/>
        <sz val="16"/>
        <color indexed="10"/>
        <rFont val="Tahoma"/>
        <family val="2"/>
      </rPr>
      <t xml:space="preserve">
</t>
    </r>
    <r>
      <rPr>
        <b/>
        <sz val="16"/>
        <color indexed="30"/>
        <rFont val="Tahoma"/>
        <family val="2"/>
      </rPr>
      <t>VALIDAR CORRECTA ETIQUETA LÓGICA DE CINTA
JOB: BUPSEMANAL</t>
    </r>
  </si>
  <si>
    <r>
      <t xml:space="preserve">VERIFICAR INICIO Y TERMINO SATISFACTORIO DE </t>
    </r>
    <r>
      <rPr>
        <b/>
        <sz val="16"/>
        <color indexed="10"/>
        <rFont val="Tahoma"/>
        <family val="2"/>
      </rPr>
      <t xml:space="preserve">BACKUP DIARIO DE LIBRERÍAS Y OBJETOS MODIFICADOS DE AMBIENTE DE </t>
    </r>
    <r>
      <rPr>
        <b/>
        <sz val="16"/>
        <color indexed="11"/>
        <rFont val="Tahoma"/>
        <family val="2"/>
      </rPr>
      <t>SUIZA</t>
    </r>
    <r>
      <rPr>
        <b/>
        <sz val="16"/>
        <color indexed="10"/>
        <rFont val="Tahoma"/>
        <family val="2"/>
      </rPr>
      <t xml:space="preserve">
</t>
    </r>
    <r>
      <rPr>
        <b/>
        <sz val="16"/>
        <color indexed="30"/>
        <rFont val="Tahoma"/>
        <family val="2"/>
      </rPr>
      <t>JOB: BACKDIA</t>
    </r>
  </si>
  <si>
    <r>
      <t xml:space="preserve">VERIFICAR INICIO DEL BACKUP DE BD. UTILIZAR LA TRANSACCION </t>
    </r>
    <r>
      <rPr>
        <b/>
        <sz val="16"/>
        <rFont val="Verdana"/>
        <family val="2"/>
      </rPr>
      <t xml:space="preserve">DB13 </t>
    </r>
    <r>
      <rPr>
        <b/>
        <sz val="16"/>
        <color indexed="56"/>
        <rFont val="Verdana"/>
        <family val="2"/>
      </rPr>
      <t>(SAP) 
IP: 10.28.21.98</t>
    </r>
  </si>
  <si>
    <r>
      <t xml:space="preserve">VERIFICAR FIN DEL BACKUP DE BD. UTILIZAR LA TRANSACCION </t>
    </r>
    <r>
      <rPr>
        <b/>
        <sz val="16"/>
        <rFont val="Verdana"/>
        <family val="2"/>
      </rPr>
      <t xml:space="preserve">DB13 </t>
    </r>
    <r>
      <rPr>
        <b/>
        <sz val="16"/>
        <color indexed="56"/>
        <rFont val="Verdana"/>
        <family val="2"/>
      </rPr>
      <t>(SAP) 
IP: 10.28.21.98</t>
    </r>
  </si>
  <si>
    <t>COP</t>
  </si>
  <si>
    <t>PCT</t>
  </si>
  <si>
    <t>COORDINADOR DE PCT</t>
  </si>
  <si>
    <t>TEAM PCT UNIQUE</t>
  </si>
  <si>
    <t>SYSTEM P/ SAP/ TWS</t>
  </si>
  <si>
    <t>SYSTEM P / TWS</t>
  </si>
  <si>
    <t>FACILITATOR / BACKUPS</t>
  </si>
  <si>
    <t>RICARDO OCHOA FLORES - RO</t>
  </si>
  <si>
    <t>Perms45
10.28.21.222</t>
  </si>
  <si>
    <t>SYSTEM X</t>
  </si>
  <si>
    <r>
      <t xml:space="preserve">3ER SABADO DEL MES - Ejecucion del 1er grupo de backup mksysb
</t>
    </r>
    <r>
      <rPr>
        <b/>
        <sz val="16"/>
        <color rgb="FFFF0000"/>
        <rFont val="Verdana"/>
        <family val="2"/>
      </rPr>
      <t xml:space="preserve">sudo /usr/local/bin/op_mksysb_unique.sh
</t>
    </r>
    <r>
      <rPr>
        <b/>
        <sz val="16"/>
        <color rgb="FF000099"/>
        <rFont val="Verdana"/>
        <family val="2"/>
      </rPr>
      <t xml:space="preserve">VERIFICAR INICIO Y FIN DE LA MALLA: UNQSINBKPMKSGR1
</t>
    </r>
  </si>
  <si>
    <r>
      <t xml:space="preserve">3ER DOMINGO DEL MES - Ejecucion del 2 grupo de backup mksysb
</t>
    </r>
    <r>
      <rPr>
        <b/>
        <sz val="16"/>
        <color rgb="FFFF0000"/>
        <rFont val="Verdana"/>
        <family val="2"/>
      </rPr>
      <t xml:space="preserve">sudo /usr/local/bin/op_mksysb_unique.sh
</t>
    </r>
    <r>
      <rPr>
        <b/>
        <sz val="16"/>
        <color rgb="FF000099"/>
        <rFont val="Verdana"/>
        <family val="2"/>
      </rPr>
      <t>VERIFICAR INICIO Y FIN DE LA MALLA: UNQSINBKPMKSGR2</t>
    </r>
  </si>
  <si>
    <r>
      <t xml:space="preserve">PRIMER DOMINGO DEL MES:
MONITOREO POR TWS: </t>
    </r>
    <r>
      <rPr>
        <sz val="16"/>
        <rFont val="Tahoma"/>
        <family val="2"/>
      </rPr>
      <t>DESACTIVACION DE SERVICIOS PARA</t>
    </r>
    <r>
      <rPr>
        <b/>
        <sz val="16"/>
        <color indexed="56"/>
        <rFont val="Tahoma"/>
        <family val="2"/>
      </rPr>
      <t xml:space="preserve"> </t>
    </r>
    <r>
      <rPr>
        <b/>
        <sz val="16"/>
        <color indexed="10"/>
        <rFont val="Tahoma"/>
        <family val="2"/>
      </rPr>
      <t>BACKUP OFFLINE QUE SE EJECUTA EN EL SERVIDOR BP1         
Ventana Maxima de OFFLINE: 10:00pm</t>
    </r>
  </si>
  <si>
    <r>
      <t xml:space="preserve">PRIMER DOMINGO DEL MES:
MONITOREO POR TWS: </t>
    </r>
    <r>
      <rPr>
        <sz val="16"/>
        <rFont val="Tahoma"/>
        <family val="2"/>
      </rPr>
      <t xml:space="preserve">EJECUCION DE </t>
    </r>
    <r>
      <rPr>
        <b/>
        <sz val="16"/>
        <color indexed="10"/>
        <rFont val="Tahoma"/>
        <family val="2"/>
      </rPr>
      <t>BACKUP OFFLINE MENSUAL BP1       
Ventana Maxima de OFFLINE: 10:00pm</t>
    </r>
  </si>
  <si>
    <r>
      <t xml:space="preserve">PRIMER DOMINGO DEL MES:
</t>
    </r>
    <r>
      <rPr>
        <sz val="16"/>
        <rFont val="Tahoma"/>
        <family val="2"/>
      </rPr>
      <t xml:space="preserve">MONITOREO DE </t>
    </r>
    <r>
      <rPr>
        <b/>
        <sz val="16"/>
        <color indexed="10"/>
        <rFont val="Tahoma"/>
        <family val="2"/>
      </rPr>
      <t>BACKUP OFFLINE MENSUAL BP1 POR TWS      
Ventana Maxima de OFFLINE: 10:00pm</t>
    </r>
  </si>
  <si>
    <r>
      <t xml:space="preserve">PRIMER DOMINGO DEL MES:
MONITOREO POR TWS: </t>
    </r>
    <r>
      <rPr>
        <sz val="16"/>
        <rFont val="Tahoma"/>
        <family val="2"/>
      </rPr>
      <t xml:space="preserve">VERIFICAR LA CORRECTA FINALIZACIÓN DE </t>
    </r>
    <r>
      <rPr>
        <b/>
        <sz val="16"/>
        <color indexed="10"/>
        <rFont val="Tahoma"/>
        <family val="2"/>
      </rPr>
      <t xml:space="preserve">BACKUP OFFLINE MENSUAL BP1     
Ventana Maxima de OFFLINE: 10:00pm                                 </t>
    </r>
  </si>
  <si>
    <r>
      <t xml:space="preserve">PRIMER DOMINGO DEL MES:
MONITOREO POR TWS: </t>
    </r>
    <r>
      <rPr>
        <sz val="16"/>
        <rFont val="Tahoma"/>
        <family val="2"/>
      </rPr>
      <t>ACTIVACION DE SERVICIOS LUEGO DE FINALIZADO EL</t>
    </r>
    <r>
      <rPr>
        <b/>
        <sz val="16"/>
        <color indexed="56"/>
        <rFont val="Tahoma"/>
        <family val="2"/>
      </rPr>
      <t xml:space="preserve"> </t>
    </r>
    <r>
      <rPr>
        <b/>
        <sz val="16"/>
        <color indexed="10"/>
        <rFont val="Tahoma"/>
        <family val="2"/>
      </rPr>
      <t>BACKUP OFFLINE QUE SE EJECUTA EN EL SERVIDOR BP1         
Ventana Maxima de OFFLINE: 10:00pm</t>
    </r>
  </si>
  <si>
    <r>
      <t xml:space="preserve">PRIMER DOMINGO DEL MES:
MONITOREO POR TWS: </t>
    </r>
    <r>
      <rPr>
        <sz val="16"/>
        <rFont val="Tahoma"/>
        <family val="2"/>
      </rPr>
      <t>DESACTIVACION DE SERVICIOS PARA</t>
    </r>
    <r>
      <rPr>
        <b/>
        <sz val="16"/>
        <color indexed="56"/>
        <rFont val="Tahoma"/>
        <family val="2"/>
      </rPr>
      <t xml:space="preserve"> </t>
    </r>
    <r>
      <rPr>
        <b/>
        <sz val="16"/>
        <color indexed="10"/>
        <rFont val="Tahoma"/>
        <family val="2"/>
      </rPr>
      <t>BACKUP OFFLINE QUE SE EJECUTA EN EL SERVIDOR BQ1         
Ventana Maxima de OFFLINE: 8:00pm</t>
    </r>
  </si>
  <si>
    <r>
      <t xml:space="preserve">PRIMER DOMINGO DEL MES:
MONITOREO POR TWS: </t>
    </r>
    <r>
      <rPr>
        <sz val="16"/>
        <rFont val="Tahoma"/>
        <family val="2"/>
      </rPr>
      <t xml:space="preserve">EJECUCION DE </t>
    </r>
    <r>
      <rPr>
        <b/>
        <sz val="16"/>
        <color indexed="10"/>
        <rFont val="Tahoma"/>
        <family val="2"/>
      </rPr>
      <t>BACKUP OFFLINE MENSUAL BQ1        
Ventana Maxima de OFFLINE: 8:00pm</t>
    </r>
  </si>
  <si>
    <r>
      <t xml:space="preserve">PRIMER DOMINGO DEL MES:
</t>
    </r>
    <r>
      <rPr>
        <sz val="16"/>
        <rFont val="Tahoma"/>
        <family val="2"/>
      </rPr>
      <t xml:space="preserve">MONITOREO DE </t>
    </r>
    <r>
      <rPr>
        <b/>
        <sz val="16"/>
        <color indexed="10"/>
        <rFont val="Tahoma"/>
        <family val="2"/>
      </rPr>
      <t>BACKUP OFFLINE MENSUAL BQ1 POR TWS        
Ventana Maxima de OFFLINE: 8:00pm</t>
    </r>
  </si>
  <si>
    <r>
      <t xml:space="preserve">PRIMER DOMINGO DEL MES:
MONITOREO POR TWS: </t>
    </r>
    <r>
      <rPr>
        <sz val="16"/>
        <rFont val="Tahoma"/>
        <family val="2"/>
      </rPr>
      <t xml:space="preserve">VERIFICAR LA CORRECTA FINALIZACIÓN DE </t>
    </r>
    <r>
      <rPr>
        <b/>
        <sz val="16"/>
        <color indexed="10"/>
        <rFont val="Tahoma"/>
        <family val="2"/>
      </rPr>
      <t xml:space="preserve">BACKUP OFFLINE MENSUAL BQ1  
Ventana Maxima de OFFLINE: 8:00pm                                   </t>
    </r>
  </si>
  <si>
    <r>
      <t xml:space="preserve">PRIMER DOMINGO DEL MES:
MONITOREO POR TWS: </t>
    </r>
    <r>
      <rPr>
        <sz val="16"/>
        <rFont val="Tahoma"/>
        <family val="2"/>
      </rPr>
      <t>ACTIVACION DE SERVICIOS LUEGO DE FINALIZADO EL</t>
    </r>
    <r>
      <rPr>
        <b/>
        <sz val="16"/>
        <color indexed="56"/>
        <rFont val="Tahoma"/>
        <family val="2"/>
      </rPr>
      <t xml:space="preserve"> </t>
    </r>
    <r>
      <rPr>
        <b/>
        <sz val="16"/>
        <color indexed="10"/>
        <rFont val="Tahoma"/>
        <family val="2"/>
      </rPr>
      <t xml:space="preserve">BACKUP OFFLINE QUE SE EJECUTA EN EL SERVIDOR BQ1      
Ventana Maxima de OFFLINE: 8:00pm   </t>
    </r>
  </si>
  <si>
    <r>
      <t xml:space="preserve">PRIMER DOMINGO DEL MES:
MONITOREO POR TWS: </t>
    </r>
    <r>
      <rPr>
        <sz val="16"/>
        <rFont val="Tahoma"/>
        <family val="2"/>
      </rPr>
      <t xml:space="preserve">EJECUCION DE </t>
    </r>
    <r>
      <rPr>
        <b/>
        <sz val="16"/>
        <color indexed="10"/>
        <rFont val="Tahoma"/>
        <family val="2"/>
      </rPr>
      <t>BACKUP OFFLINE MENSUAL BD1       
Ventana Maxima de OFFLINE: 8:00pm</t>
    </r>
  </si>
  <si>
    <r>
      <t xml:space="preserve">PRIMER DOMINGO DEL MES:
</t>
    </r>
    <r>
      <rPr>
        <sz val="16"/>
        <rFont val="Tahoma"/>
        <family val="2"/>
      </rPr>
      <t xml:space="preserve">MONITOREO DE </t>
    </r>
    <r>
      <rPr>
        <b/>
        <sz val="16"/>
        <color indexed="10"/>
        <rFont val="Tahoma"/>
        <family val="2"/>
      </rPr>
      <t>BACKUP OFFLINE MENSUAL BD1 POR TWS     
Ventana Maxima de OFFLINE: 8:00pm</t>
    </r>
  </si>
  <si>
    <r>
      <t xml:space="preserve">PRIMER DOMINGO DEL MES:
MONITOREO POR TWS: </t>
    </r>
    <r>
      <rPr>
        <sz val="16"/>
        <rFont val="Tahoma"/>
        <family val="2"/>
      </rPr>
      <t xml:space="preserve">VERIFICAR LA CORRECTA FINALIZACIÓN DE </t>
    </r>
    <r>
      <rPr>
        <b/>
        <sz val="16"/>
        <color indexed="10"/>
        <rFont val="Tahoma"/>
        <family val="2"/>
      </rPr>
      <t xml:space="preserve">BACKUP OFFLINE MENSUAL BD1      
Ventana Maxima de OFFLINE: 8:00pm                         </t>
    </r>
  </si>
  <si>
    <r>
      <t xml:space="preserve">PRIMER DOMINGO DEL MES:
MONITOREO POR TWS: </t>
    </r>
    <r>
      <rPr>
        <sz val="16"/>
        <rFont val="Tahoma"/>
        <family val="2"/>
      </rPr>
      <t>ACTIVACION DE SERVICIOS LUEGO DE FINALIZADO EL</t>
    </r>
    <r>
      <rPr>
        <b/>
        <sz val="16"/>
        <color indexed="56"/>
        <rFont val="Tahoma"/>
        <family val="2"/>
      </rPr>
      <t xml:space="preserve"> </t>
    </r>
    <r>
      <rPr>
        <b/>
        <sz val="16"/>
        <color indexed="10"/>
        <rFont val="Tahoma"/>
        <family val="2"/>
      </rPr>
      <t xml:space="preserve">BACKUP OFFLINE QUE SE EJECUTA EN EL SERVIDOR BD1        
Ventana Maxima de OFFLINE: 8:00pm </t>
    </r>
  </si>
  <si>
    <r>
      <t xml:space="preserve">GENERACION Y ENVIO DE REPORTE DE RESUMEN DE ATENCION DE TICKETS DE FLASHCOPIES - BACKUPS ESPECIALES - RESTORES
A: OPERADOR UNIQUE PERU - SIL - SAM - DPE - DAVID MURILLO - PEDRO ANCHANTE
</t>
    </r>
    <r>
      <rPr>
        <b/>
        <sz val="16"/>
        <color rgb="FFFF0000"/>
        <rFont val="Verdana"/>
        <family val="2"/>
      </rPr>
      <t>NOTA: UTILIZAR EL STATIONARY.</t>
    </r>
  </si>
  <si>
    <r>
      <t>MONITOREO DE BACKUP</t>
    </r>
    <r>
      <rPr>
        <sz val="16"/>
        <color indexed="56"/>
        <rFont val="Verdana"/>
        <family val="2"/>
      </rPr>
      <t xml:space="preserve"> </t>
    </r>
    <r>
      <rPr>
        <b/>
        <sz val="16"/>
        <color indexed="56"/>
        <rFont val="Verdana"/>
        <family val="2"/>
      </rPr>
      <t>(REVISAR TODOS LOS BACKUP POR EL SERVICIO TSM Y ACTUALIZAR FORMATO SAP SOA) LIBRERIA DEDICADA TSM LA MOLINA Y ARAMBURU</t>
    </r>
  </si>
  <si>
    <r>
      <t xml:space="preserve">REALIZAR </t>
    </r>
    <r>
      <rPr>
        <b/>
        <sz val="16"/>
        <color indexed="10"/>
        <rFont val="Tahoma"/>
        <family val="2"/>
      </rPr>
      <t xml:space="preserve">INICIALIZACIÓN DE CINTAS </t>
    </r>
    <r>
      <rPr>
        <b/>
        <sz val="16"/>
        <rFont val="Tahoma"/>
        <family val="2"/>
      </rPr>
      <t xml:space="preserve">PARA LOS </t>
    </r>
    <r>
      <rPr>
        <b/>
        <sz val="16"/>
        <color indexed="30"/>
        <rFont val="Tahoma"/>
        <family val="2"/>
      </rPr>
      <t xml:space="preserve">BACKUPS (DIARIOS O SEMANALES) AUTOMÁTICOS. SE REALIZA DE ACUERDO AL CUADRO DE ROTACIÓN
</t>
    </r>
    <r>
      <rPr>
        <b/>
        <sz val="16"/>
        <color rgb="FFFF0000"/>
        <rFont val="Tahoma"/>
        <family val="2"/>
      </rPr>
      <t xml:space="preserve">- PREVIA CONFIRMACIÓN DEL OPERADOR DE CENTRO DE COMPUTO (TEAM PSM)
</t>
    </r>
    <r>
      <rPr>
        <b/>
        <sz val="16"/>
        <color theme="1"/>
        <rFont val="Tahoma"/>
        <family val="2"/>
      </rPr>
      <t xml:space="preserve">COORDENADA DE LIBRERÍA: </t>
    </r>
    <r>
      <rPr>
        <b/>
        <sz val="16"/>
        <color rgb="FFFF0000"/>
        <rFont val="Tahoma"/>
        <family val="2"/>
      </rPr>
      <t xml:space="preserve">AF38 - </t>
    </r>
    <r>
      <rPr>
        <b/>
        <sz val="16"/>
        <color theme="1"/>
        <rFont val="Tahoma"/>
        <family val="2"/>
      </rPr>
      <t xml:space="preserve">RU: </t>
    </r>
    <r>
      <rPr>
        <b/>
        <sz val="16"/>
        <color rgb="FFFF0000"/>
        <rFont val="Tahoma"/>
        <family val="2"/>
      </rPr>
      <t>19-20</t>
    </r>
  </si>
  <si>
    <r>
      <t xml:space="preserve">REALIZAR </t>
    </r>
    <r>
      <rPr>
        <b/>
        <sz val="16"/>
        <color indexed="10"/>
        <rFont val="Tahoma"/>
        <family val="2"/>
      </rPr>
      <t xml:space="preserve">BACKUP DIARIO DE AMBIENTE DE </t>
    </r>
    <r>
      <rPr>
        <b/>
        <sz val="16"/>
        <color indexed="11"/>
        <rFont val="Tahoma"/>
        <family val="2"/>
      </rPr>
      <t>SUIZA</t>
    </r>
    <r>
      <rPr>
        <b/>
        <sz val="16"/>
        <color indexed="10"/>
        <rFont val="Tahoma"/>
        <family val="2"/>
      </rPr>
      <t xml:space="preserve">
</t>
    </r>
    <r>
      <rPr>
        <b/>
        <sz val="16"/>
        <color indexed="30"/>
        <rFont val="Tahoma"/>
        <family val="2"/>
      </rPr>
      <t>VALIDAR CONFIRMACIÓN POR CORREO DEL OPERADOR DE UNIQUE ANTES DE EJECUTAR
JOB: BK_SUIZA</t>
    </r>
  </si>
  <si>
    <r>
      <t xml:space="preserve">VERIFICAR FIN DE LA MALLA POR TWS : UNQDOMMNT001 - MALLA DE MANTENIMIENTO PREVENTIVO DE SERVIDORES AIX.  
</t>
    </r>
    <r>
      <rPr>
        <b/>
        <sz val="18"/>
        <color theme="9" tint="-0.499984740745262"/>
        <rFont val="Tahoma"/>
        <family val="2"/>
      </rPr>
      <t/>
    </r>
  </si>
  <si>
    <r>
      <rPr>
        <b/>
        <sz val="16"/>
        <color indexed="17"/>
        <rFont val="Tahoma"/>
        <family val="2"/>
      </rPr>
      <t>ENVIO DE REPORTE DE MANTENIMIENTO PREVENTIVO SERVIDORES AIX.</t>
    </r>
    <r>
      <rPr>
        <b/>
        <sz val="16"/>
        <rFont val="Tahoma"/>
        <family val="2"/>
      </rPr>
      <t xml:space="preserve">
</t>
    </r>
    <r>
      <rPr>
        <b/>
        <sz val="16"/>
        <color indexed="56"/>
        <rFont val="Tahoma"/>
        <family val="2"/>
      </rPr>
      <t>VERIFICAR ENVIO DE ARCHIVO CON RESULTADOS DE MANTENIMIENTO AL CORREO DE OPERADOR IBM CON COPIA A LOS DESTINATARIOS GRUPO_IBM_UNIQUE Y pSeries SSO Peru</t>
    </r>
  </si>
  <si>
    <r>
      <t xml:space="preserve">VERIFICAR INICIO DEL BACKUP DE BD. UTILIZAR LA TRANSACCION </t>
    </r>
    <r>
      <rPr>
        <b/>
        <sz val="16"/>
        <rFont val="Verdana"/>
        <family val="2"/>
      </rPr>
      <t xml:space="preserve">DB13 </t>
    </r>
    <r>
      <rPr>
        <b/>
        <sz val="16"/>
        <color indexed="56"/>
        <rFont val="Verdana"/>
        <family val="2"/>
      </rPr>
      <t>(SAP) 
IP: 10.28.3.196</t>
    </r>
  </si>
  <si>
    <r>
      <t xml:space="preserve">VERIFICAR INICIO DEL BACKUP DE BD. UTILIZAR LA TRANSACCION </t>
    </r>
    <r>
      <rPr>
        <b/>
        <sz val="16"/>
        <rFont val="Verdana"/>
        <family val="2"/>
      </rPr>
      <t xml:space="preserve">DB13 </t>
    </r>
    <r>
      <rPr>
        <b/>
        <sz val="16"/>
        <color indexed="56"/>
        <rFont val="Verdana"/>
        <family val="2"/>
      </rPr>
      <t>(SAP) 
IP: 10.28.21.106</t>
    </r>
  </si>
  <si>
    <r>
      <t xml:space="preserve">VERIFICAR INICIO DEL BACKUP DE BD. UTILIZAR LA TRANSACCION </t>
    </r>
    <r>
      <rPr>
        <b/>
        <sz val="16"/>
        <rFont val="Verdana"/>
        <family val="2"/>
      </rPr>
      <t xml:space="preserve">DB13 </t>
    </r>
    <r>
      <rPr>
        <b/>
        <sz val="16"/>
        <color indexed="56"/>
        <rFont val="Verdana"/>
        <family val="2"/>
      </rPr>
      <t>(SAP) 
IP: 10.28.20.227</t>
    </r>
  </si>
  <si>
    <r>
      <t xml:space="preserve">VERIFICAR INICIO DEL BACKUP DE BD. UTILIZAR LA TRANSACCION </t>
    </r>
    <r>
      <rPr>
        <b/>
        <sz val="16"/>
        <rFont val="Verdana"/>
        <family val="2"/>
      </rPr>
      <t xml:space="preserve">DB13 </t>
    </r>
    <r>
      <rPr>
        <b/>
        <sz val="16"/>
        <color indexed="56"/>
        <rFont val="Verdana"/>
        <family val="2"/>
      </rPr>
      <t>(SAP) 
IP: 10.28.3.200</t>
    </r>
  </si>
  <si>
    <r>
      <t xml:space="preserve">VERIFICAR INICIO DEL BACKUP DE BD. UTILIZAR LA TRANSACCION </t>
    </r>
    <r>
      <rPr>
        <b/>
        <sz val="16"/>
        <rFont val="Verdana"/>
        <family val="2"/>
      </rPr>
      <t xml:space="preserve">DB13 </t>
    </r>
    <r>
      <rPr>
        <b/>
        <sz val="16"/>
        <color indexed="56"/>
        <rFont val="Verdana"/>
        <family val="2"/>
      </rPr>
      <t>(SAP) 
IP: 10.28.3.194</t>
    </r>
  </si>
  <si>
    <r>
      <t xml:space="preserve">VERIFICAR FIN DEL BACKUP DE BD. UTILIZAR LA TRANSACCION </t>
    </r>
    <r>
      <rPr>
        <b/>
        <sz val="16"/>
        <rFont val="Verdana"/>
        <family val="2"/>
      </rPr>
      <t xml:space="preserve">DB13 </t>
    </r>
    <r>
      <rPr>
        <b/>
        <sz val="16"/>
        <color indexed="56"/>
        <rFont val="Verdana"/>
        <family val="2"/>
      </rPr>
      <t>(SAP) 
IP: 10.28.3.196</t>
    </r>
  </si>
  <si>
    <r>
      <t xml:space="preserve">VERIFICAR FIN DEL BACKUP DE BD. UTILIZAR LA TRANSACCION </t>
    </r>
    <r>
      <rPr>
        <b/>
        <sz val="16"/>
        <rFont val="Verdana"/>
        <family val="2"/>
      </rPr>
      <t xml:space="preserve">DB13 </t>
    </r>
    <r>
      <rPr>
        <b/>
        <sz val="16"/>
        <color indexed="56"/>
        <rFont val="Verdana"/>
        <family val="2"/>
      </rPr>
      <t>(SAP) 
IP: 10.28.21.106</t>
    </r>
  </si>
  <si>
    <r>
      <t xml:space="preserve">VERIFICAR FIN DEL BACKUP DE BD. UTILIZAR LA TRANSACCION </t>
    </r>
    <r>
      <rPr>
        <b/>
        <sz val="16"/>
        <rFont val="Verdana"/>
        <family val="2"/>
      </rPr>
      <t xml:space="preserve">DB13 </t>
    </r>
    <r>
      <rPr>
        <b/>
        <sz val="16"/>
        <color indexed="56"/>
        <rFont val="Verdana"/>
        <family val="2"/>
      </rPr>
      <t>(SAP) 
IP: 10.28.20.227</t>
    </r>
  </si>
  <si>
    <r>
      <t xml:space="preserve">VERIFICAR FIN DEL BACKUP DE BD. UTILIZAR LA TRANSACCION </t>
    </r>
    <r>
      <rPr>
        <b/>
        <sz val="16"/>
        <rFont val="Verdana"/>
        <family val="2"/>
      </rPr>
      <t xml:space="preserve">DB13 </t>
    </r>
    <r>
      <rPr>
        <b/>
        <sz val="16"/>
        <color indexed="56"/>
        <rFont val="Verdana"/>
        <family val="2"/>
      </rPr>
      <t>(SAP) 
IP: 10.28.3.200</t>
    </r>
  </si>
  <si>
    <r>
      <t xml:space="preserve">VERIFICAR FIN DEL BACKUP DE BD. UTILIZAR LA TRANSACCION </t>
    </r>
    <r>
      <rPr>
        <b/>
        <sz val="16"/>
        <rFont val="Verdana"/>
        <family val="2"/>
      </rPr>
      <t xml:space="preserve">DB13 </t>
    </r>
    <r>
      <rPr>
        <b/>
        <sz val="16"/>
        <color indexed="56"/>
        <rFont val="Verdana"/>
        <family val="2"/>
      </rPr>
      <t>(SAP) 
IP: 10.28.3.194</t>
    </r>
  </si>
  <si>
    <r>
      <t xml:space="preserve">REVISION DE ESTADO DE RESPALDOS DE REPORTE EXCEL DE BACKUPS SAP SOA
</t>
    </r>
    <r>
      <rPr>
        <b/>
        <sz val="16"/>
        <color theme="3" tint="0.39997558519241921"/>
        <rFont val="Tahoma"/>
        <family val="2"/>
      </rPr>
      <t>Excel con reporte de estado de SAP/SOA de ruta: Utilitarios\Reporte de Monitoreo de Backups\AÑO\</t>
    </r>
  </si>
  <si>
    <r>
      <t xml:space="preserve">ENVIO REPORTE DE MONITOREO DE BACKUPS - SAP - SOA (XLS)
</t>
    </r>
    <r>
      <rPr>
        <b/>
        <sz val="16"/>
        <color theme="3" tint="0.39997558519241921"/>
        <rFont val="Tahoma"/>
        <family val="2"/>
      </rPr>
      <t xml:space="preserve">Ruta: Utilitarios\Reporte de Monitoreo de Backups\AÑO\
Destinatarios: OPERADOR UNIQUE PERU - LUIS CASTRO - CARLOS MARROU - CHRISTIAN ECHEGARAY - SIL - SAM - DPE - TL OPERACIONES - SILVANA RUIZ - PEDRO ANCHANTE
</t>
    </r>
    <r>
      <rPr>
        <b/>
        <sz val="16"/>
        <color rgb="FFFF0000"/>
        <rFont val="Tahoma"/>
        <family val="2"/>
      </rPr>
      <t>NOTA: UTILIZAR EL STATIONARY.</t>
    </r>
  </si>
  <si>
    <r>
      <t xml:space="preserve">PRIMER DOMINGO DEL MES:
MONITOREO POR TWS: </t>
    </r>
    <r>
      <rPr>
        <sz val="16"/>
        <rFont val="Tahoma"/>
        <family val="2"/>
      </rPr>
      <t>DESACTIVACION DE SERVICIOS PARA</t>
    </r>
    <r>
      <rPr>
        <b/>
        <sz val="16"/>
        <color indexed="56"/>
        <rFont val="Tahoma"/>
        <family val="2"/>
      </rPr>
      <t xml:space="preserve"> </t>
    </r>
    <r>
      <rPr>
        <b/>
        <sz val="16"/>
        <color indexed="10"/>
        <rFont val="Tahoma"/>
        <family val="2"/>
      </rPr>
      <t>BACKUP OFFLINE QUE SE EJECUTA EN EL SERVIDOR BD1         
Ventana Maxima de OFFLINE: 8:00pm</t>
    </r>
  </si>
  <si>
    <t>UNQO 065</t>
  </si>
  <si>
    <r>
      <t xml:space="preserve">RESTORE DEL SERVIDOR </t>
    </r>
    <r>
      <rPr>
        <b/>
        <sz val="16"/>
        <rFont val="Verdana"/>
        <family val="2"/>
      </rPr>
      <t>PERMS45</t>
    </r>
    <r>
      <rPr>
        <sz val="16"/>
        <rFont val="Verdana"/>
        <family val="2"/>
      </rPr>
      <t xml:space="preserve"> AL SERVIDOR </t>
    </r>
    <r>
      <rPr>
        <b/>
        <sz val="16"/>
        <rFont val="Verdana"/>
        <family val="2"/>
      </rPr>
      <t xml:space="preserve">PERMS298.
</t>
    </r>
    <r>
      <rPr>
        <b/>
        <sz val="16"/>
        <color rgb="FFFF0000"/>
        <rFont val="Verdana"/>
        <family val="2"/>
      </rPr>
      <t xml:space="preserve">MONITOREAR MALLA AUTOMÁTICA DE TWS : </t>
    </r>
    <r>
      <rPr>
        <b/>
        <sz val="16"/>
        <color theme="3"/>
        <rFont val="Verdana"/>
        <family val="2"/>
      </rPr>
      <t>UNQ298RESDTP45</t>
    </r>
    <r>
      <rPr>
        <b/>
        <sz val="16"/>
        <color rgb="FFFF0000"/>
        <rFont val="Verdana"/>
        <family val="2"/>
      </rPr>
      <t xml:space="preserve">
VISTA TWS: </t>
    </r>
    <r>
      <rPr>
        <b/>
        <sz val="16"/>
        <color theme="3"/>
        <rFont val="Verdana"/>
        <family val="2"/>
      </rPr>
      <t>MONITOREO UNIQUE RESTORE</t>
    </r>
    <r>
      <rPr>
        <b/>
        <sz val="16"/>
        <rFont val="Verdana"/>
        <family val="2"/>
      </rPr>
      <t xml:space="preserve">
</t>
    </r>
  </si>
  <si>
    <t>UNQO 055</t>
  </si>
  <si>
    <t>UNQO 056</t>
  </si>
  <si>
    <r>
      <rPr>
        <b/>
        <sz val="16"/>
        <color rgb="FF002060"/>
        <rFont val="Verdana"/>
        <family val="2"/>
      </rPr>
      <t>SEGUNDO DOMINGO DE CADA CAMPAÑA (REVISAR CALENDARIO UNIQUE):</t>
    </r>
    <r>
      <rPr>
        <b/>
        <sz val="16"/>
        <color indexed="56"/>
        <rFont val="Verdana"/>
        <family val="2"/>
      </rPr>
      <t xml:space="preserve">
</t>
    </r>
    <r>
      <rPr>
        <sz val="16"/>
        <color rgb="FF002060"/>
        <rFont val="Verdana"/>
        <family val="2"/>
      </rPr>
      <t xml:space="preserve">PROCESO MANUAL: </t>
    </r>
    <r>
      <rPr>
        <b/>
        <sz val="16"/>
        <color indexed="10"/>
        <rFont val="Verdana"/>
        <family val="2"/>
      </rPr>
      <t xml:space="preserve">DESACTIVAR SERVICIOS DE LIVE CACHE CON TRANSACCION LC10 DE LA INSTANCIA SCM PARA BACKUP OFFLINE EN SERVIDOR YANBALAP1 10.28.3.194
</t>
    </r>
    <r>
      <rPr>
        <b/>
        <sz val="16"/>
        <color rgb="FF002060"/>
        <rFont val="Verdana"/>
        <family val="2"/>
      </rPr>
      <t xml:space="preserve">VENTANA MÁXIMA DE EJECUCIÓN: </t>
    </r>
    <r>
      <rPr>
        <b/>
        <sz val="16"/>
        <color indexed="10"/>
        <rFont val="Verdana"/>
        <family val="2"/>
      </rPr>
      <t>17:00 HRS</t>
    </r>
  </si>
  <si>
    <r>
      <t xml:space="preserve">SEGUNDO DOMINGO DE CADA CAMPAÑA (REVISAR CALENDARIO UNIQUE):
</t>
    </r>
    <r>
      <rPr>
        <sz val="16"/>
        <color indexed="56"/>
        <rFont val="Verdana"/>
        <family val="2"/>
      </rPr>
      <t xml:space="preserve">MALLA DE TWS: </t>
    </r>
    <r>
      <rPr>
        <b/>
        <sz val="16"/>
        <color rgb="FFFF0000"/>
        <rFont val="Verdana"/>
        <family val="2"/>
      </rPr>
      <t>UNQAP1BKPMEN001</t>
    </r>
    <r>
      <rPr>
        <b/>
        <sz val="16"/>
        <color indexed="56"/>
        <rFont val="Verdana"/>
        <family val="2"/>
      </rPr>
      <t xml:space="preserve">
</t>
    </r>
    <r>
      <rPr>
        <sz val="16"/>
        <color indexed="56"/>
        <rFont val="Verdana"/>
        <family val="2"/>
      </rPr>
      <t>MONITOREO POR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EJECUCIÓN DE BACKUP OFFLINE EN SERVIDOR YANBALAP1 10.28.3.194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17:00 HRS</t>
    </r>
  </si>
  <si>
    <r>
      <rPr>
        <b/>
        <sz val="16"/>
        <color indexed="56"/>
        <rFont val="Verdana"/>
        <family val="2"/>
      </rPr>
      <t xml:space="preserve">SEGUNDO DOMINGO DE CADA CAMPAÑA (REVISAR CALENDARIO UNIQUE):
</t>
    </r>
    <r>
      <rPr>
        <sz val="16"/>
        <color indexed="56"/>
        <rFont val="Verdana"/>
        <family val="2"/>
      </rPr>
      <t>MALLA DE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UNQAP1BKPMEN001</t>
    </r>
    <r>
      <rPr>
        <sz val="16"/>
        <color rgb="FFFF0000"/>
        <rFont val="Verdana"/>
        <family val="2"/>
      </rPr>
      <t xml:space="preserve"> </t>
    </r>
    <r>
      <rPr>
        <sz val="16"/>
        <rFont val="Verdana"/>
        <family val="2"/>
      </rPr>
      <t xml:space="preserve">                                                                        
</t>
    </r>
    <r>
      <rPr>
        <sz val="16"/>
        <color rgb="FF002060"/>
        <rFont val="Verdana"/>
        <family val="2"/>
      </rPr>
      <t>MONITOREO POR TWS:</t>
    </r>
    <r>
      <rPr>
        <sz val="1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VERIFICAR JOB DE ACTIVACIÓN DE  SERVICIOS AL FINALIZAR EL</t>
    </r>
    <r>
      <rPr>
        <sz val="16"/>
        <rFont val="Verdana"/>
        <family val="2"/>
      </rPr>
      <t xml:space="preserve"> </t>
    </r>
    <r>
      <rPr>
        <b/>
        <sz val="16"/>
        <color indexed="10"/>
        <rFont val="Verdana"/>
        <family val="2"/>
      </rPr>
      <t xml:space="preserve">BACKUP OFFLINE MENSUAL EN SERVIDOR YANBALAP1 10.28.3.194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17:00 HRS</t>
    </r>
  </si>
  <si>
    <r>
      <t xml:space="preserve">SEGUNDO DOMINGO DE CADA CAMPAÑA (REVISAR CALENDARIO UNIQUE):
</t>
    </r>
    <r>
      <rPr>
        <sz val="16"/>
        <color indexed="56"/>
        <rFont val="Verdana"/>
        <family val="2"/>
      </rPr>
      <t xml:space="preserve">MALLA DE TWS: </t>
    </r>
    <r>
      <rPr>
        <b/>
        <sz val="16"/>
        <color rgb="FFFF0000"/>
        <rFont val="Verdana"/>
        <family val="2"/>
      </rPr>
      <t>UNQAP1BKPMEN001</t>
    </r>
    <r>
      <rPr>
        <b/>
        <sz val="16"/>
        <color indexed="56"/>
        <rFont val="Verdana"/>
        <family val="2"/>
      </rPr>
      <t xml:space="preserve">
</t>
    </r>
    <r>
      <rPr>
        <sz val="16"/>
        <color indexed="56"/>
        <rFont val="Verdana"/>
        <family val="2"/>
      </rPr>
      <t>MONITOREO POR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VERIFICAR AVANCE DE BACKUP OFFLINE EN SERVIDOR YANBALAP1 10.28.3.194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17:00 HRS</t>
    </r>
  </si>
  <si>
    <r>
      <rPr>
        <b/>
        <sz val="16"/>
        <color indexed="56"/>
        <rFont val="Verdana"/>
        <family val="2"/>
      </rPr>
      <t>SEGUNDO DOMINGO DE CADA CAMPAÑA (REVISAR CALENDARIO UNIQUE):</t>
    </r>
    <r>
      <rPr>
        <sz val="16"/>
        <rFont val="Verdana"/>
        <family val="2"/>
      </rPr>
      <t xml:space="preserve">                                            
</t>
    </r>
    <r>
      <rPr>
        <sz val="16"/>
        <color rgb="FF002060"/>
        <rFont val="Verdana"/>
        <family val="2"/>
      </rPr>
      <t>PROCESO MANUAL:</t>
    </r>
    <r>
      <rPr>
        <sz val="1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 xml:space="preserve">VALIDAR LA CORRECTA ACTIVACIÓN DE SERVICIOS DEL SAP EJECUTANDO LA TRANSACCION SM51 Y ACTIVAR SERVICIOS DE LIVE CACHE CON TRANSACCION LC10
</t>
    </r>
    <r>
      <rPr>
        <sz val="16"/>
        <color rgb="FF002060"/>
        <rFont val="Verdana"/>
        <family val="2"/>
      </rPr>
      <t xml:space="preserve">MONITOREO OMNIBUS: </t>
    </r>
    <r>
      <rPr>
        <b/>
        <sz val="16"/>
        <color rgb="FFFF0000"/>
        <rFont val="Verdana"/>
        <family val="2"/>
      </rPr>
      <t>VERIFICAR RESTABLECIMIENTO DE ALERTAS EN RELACIÓN A INSTANCIA SAP AP1</t>
    </r>
    <r>
      <rPr>
        <b/>
        <sz val="16"/>
        <color indexed="10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17:00 HRS</t>
    </r>
  </si>
  <si>
    <r>
      <t xml:space="preserve">REVISAR TICKETS Y CORREOS REFERENTES A EJECUCION DE FLASHCOPY, RESTORE Y BACKUP ESPECIAL </t>
    </r>
    <r>
      <rPr>
        <b/>
        <sz val="16"/>
        <rFont val="Verdana"/>
        <family val="2"/>
      </rPr>
      <t>(REGISTRAR FECHAS DE EJECUCION, TIPO DE MENU, PAIS, ETC EN FORMATO DE RESUMEN).</t>
    </r>
  </si>
  <si>
    <r>
      <t xml:space="preserve">YanbalSRSDevQas
</t>
    </r>
    <r>
      <rPr>
        <b/>
        <sz val="16"/>
        <rFont val="Verdana"/>
        <family val="2"/>
      </rPr>
      <t>10.28.21.75</t>
    </r>
  </si>
  <si>
    <r>
      <t xml:space="preserve">YanbalSRSPrd
</t>
    </r>
    <r>
      <rPr>
        <b/>
        <sz val="16"/>
        <rFont val="Verdana"/>
        <family val="2"/>
      </rPr>
      <t>10.28.21.77</t>
    </r>
  </si>
  <si>
    <t>UNQO 070</t>
  </si>
  <si>
    <t>UNQO 069</t>
  </si>
  <si>
    <r>
      <t xml:space="preserve">SEGUNDO DOMINGO DE CADA CAMPAÑA (REVISAR CALENDARIO UNIQUE):
</t>
    </r>
    <r>
      <rPr>
        <sz val="16"/>
        <color indexed="56"/>
        <rFont val="Verdana"/>
        <family val="2"/>
      </rPr>
      <t xml:space="preserve">MALLA DE TWS: </t>
    </r>
    <r>
      <rPr>
        <b/>
        <sz val="16"/>
        <color rgb="FFFF0000"/>
        <rFont val="Verdana"/>
        <family val="2"/>
      </rPr>
      <t>UNQAP1BKPMEN001</t>
    </r>
    <r>
      <rPr>
        <b/>
        <sz val="16"/>
        <color indexed="56"/>
        <rFont val="Verdana"/>
        <family val="2"/>
      </rPr>
      <t xml:space="preserve">
</t>
    </r>
    <r>
      <rPr>
        <sz val="16"/>
        <color indexed="56"/>
        <rFont val="Verdana"/>
        <family val="2"/>
      </rPr>
      <t>MONITOREO POR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VALIDAR LA CORRECTA FINALIZACIÓN DE BACKUP OFFLINE MENSUAL EN SERVIDOR YANBALAP1 10.28.3.194</t>
    </r>
    <r>
      <rPr>
        <b/>
        <sz val="16"/>
        <color indexed="10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 xml:space="preserve">VENTANA MÁXIMA DE EJECUCIÓN: </t>
    </r>
    <r>
      <rPr>
        <b/>
        <sz val="16"/>
        <color indexed="10"/>
        <rFont val="Verdana"/>
        <family val="2"/>
      </rPr>
      <t>17:00 HRS</t>
    </r>
  </si>
  <si>
    <r>
      <t xml:space="preserve">CUARTO SABADO DEL MES (MES CALENDARIO):
</t>
    </r>
    <r>
      <rPr>
        <sz val="16"/>
        <color indexed="56"/>
        <rFont val="Verdana"/>
        <family val="2"/>
      </rPr>
      <t xml:space="preserve">MALLA DE TWS: </t>
    </r>
    <r>
      <rPr>
        <b/>
        <sz val="16"/>
        <color rgb="FFFF0000"/>
        <rFont val="Verdana"/>
        <family val="2"/>
      </rPr>
      <t>UNQSRSBKPMEN001</t>
    </r>
    <r>
      <rPr>
        <b/>
        <sz val="16"/>
        <color indexed="56"/>
        <rFont val="Verdana"/>
        <family val="2"/>
      </rPr>
      <t xml:space="preserve">
</t>
    </r>
    <r>
      <rPr>
        <sz val="16"/>
        <color indexed="56"/>
        <rFont val="Verdana"/>
        <family val="2"/>
      </rPr>
      <t>MONITOREO POR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DESACTIVAR SERVICIOS EN SERVIDOR YANBALSRSDEVQAS 10.28.21.75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</si>
  <si>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CUARTO SABADO DEL MES (MES CALENDARIO):
</t>
    </r>
    <r>
      <rPr>
        <sz val="16"/>
        <color indexed="56"/>
        <rFont val="Verdana"/>
        <family val="2"/>
      </rPr>
      <t xml:space="preserve">MALLA DE TWS: </t>
    </r>
    <r>
      <rPr>
        <b/>
        <sz val="16"/>
        <color rgb="FFFF0000"/>
        <rFont val="Verdana"/>
        <family val="2"/>
      </rPr>
      <t>UNQSRSBKPMEN001</t>
    </r>
    <r>
      <rPr>
        <b/>
        <sz val="16"/>
        <color indexed="56"/>
        <rFont val="Verdana"/>
        <family val="2"/>
      </rPr>
      <t xml:space="preserve">
</t>
    </r>
    <r>
      <rPr>
        <sz val="16"/>
        <color indexed="56"/>
        <rFont val="Verdana"/>
        <family val="2"/>
      </rPr>
      <t xml:space="preserve">MONITOREO POR TWS: </t>
    </r>
    <r>
      <rPr>
        <b/>
        <sz val="16"/>
        <color rgb="FFFF0000"/>
        <rFont val="Verdana"/>
        <family val="2"/>
      </rPr>
      <t>EJECUCIÓN DEL BACKUP OFFLINE EN SERVIDOR YANBALSRSDEVQAS 10.28.21.75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</si>
  <si>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CUARTO SABADO DEL MES (MES CALENDARIO):
</t>
    </r>
    <r>
      <rPr>
        <sz val="16"/>
        <color indexed="56"/>
        <rFont val="Verdana"/>
        <family val="2"/>
      </rPr>
      <t>MALLA DE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UNQSRSBKPMEN001</t>
    </r>
    <r>
      <rPr>
        <b/>
        <sz val="16"/>
        <color indexed="56"/>
        <rFont val="Verdana"/>
        <family val="2"/>
      </rPr>
      <t xml:space="preserve">
</t>
    </r>
    <r>
      <rPr>
        <sz val="16"/>
        <color indexed="56"/>
        <rFont val="Verdana"/>
        <family val="2"/>
      </rPr>
      <t>MONITOREO POR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VERIFICAR LA CORRECTA FINALIZACIÓN DEL BACKUP OFFLINE EN SERVIDOR YANBALSRSDEVQAS 10.28.21.75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</si>
  <si>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CUARTO SABADO DEL MES (MES CALENDARIO):
</t>
    </r>
    <r>
      <rPr>
        <sz val="16"/>
        <color indexed="56"/>
        <rFont val="Verdana"/>
        <family val="2"/>
      </rPr>
      <t>MALLA DE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UNQSRSBKPMEN001</t>
    </r>
    <r>
      <rPr>
        <b/>
        <sz val="16"/>
        <color indexed="56"/>
        <rFont val="Verdana"/>
        <family val="2"/>
      </rPr>
      <t xml:space="preserve">
</t>
    </r>
    <r>
      <rPr>
        <sz val="16"/>
        <color indexed="56"/>
        <rFont val="Verdana"/>
        <family val="2"/>
      </rPr>
      <t>MONITOREO POR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ACTIVAR SERVICIOS EN SERVIDOR YANBALSRSDEVQAS 10.28.21.75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</si>
  <si>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CUARTO DOMINGO DEL MES (MES CALENDARIO):
</t>
    </r>
    <r>
      <rPr>
        <sz val="16"/>
        <color indexed="56"/>
        <rFont val="Verdana"/>
        <family val="2"/>
      </rPr>
      <t>MALLA DE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UNQSRSPRDBKPMEN1</t>
    </r>
    <r>
      <rPr>
        <b/>
        <sz val="16"/>
        <color indexed="56"/>
        <rFont val="Verdana"/>
        <family val="2"/>
      </rPr>
      <t xml:space="preserve">
</t>
    </r>
    <r>
      <rPr>
        <sz val="16"/>
        <color indexed="56"/>
        <rFont val="Verdana"/>
        <family val="2"/>
      </rPr>
      <t xml:space="preserve">MONITOREO POR TWS: </t>
    </r>
    <r>
      <rPr>
        <b/>
        <sz val="16"/>
        <color rgb="FFFF0000"/>
        <rFont val="Verdana"/>
        <family val="2"/>
      </rPr>
      <t>DESACTIVAR SERVICIOS EN SERVIDOR YANBALSRSPRD 10.28.21.77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</si>
  <si>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CUARTO DOMINGO DEL MES (MES CALENDARIO):
</t>
    </r>
    <r>
      <rPr>
        <sz val="16"/>
        <color indexed="56"/>
        <rFont val="Verdana"/>
        <family val="2"/>
      </rPr>
      <t>MALLA DE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UNQSRSPRDBKPMEN1</t>
    </r>
    <r>
      <rPr>
        <b/>
        <sz val="16"/>
        <color indexed="56"/>
        <rFont val="Verdana"/>
        <family val="2"/>
      </rPr>
      <t xml:space="preserve">
</t>
    </r>
    <r>
      <rPr>
        <sz val="16"/>
        <color indexed="56"/>
        <rFont val="Verdana"/>
        <family val="2"/>
      </rPr>
      <t>MONITOREO POR TWS:</t>
    </r>
    <r>
      <rPr>
        <b/>
        <sz val="16"/>
        <color rgb="FFFF0000"/>
        <rFont val="Verdana"/>
        <family val="2"/>
      </rPr>
      <t>EJECUCIÓN DEL BACKUP OFFLINE EN SERVIDOR YANBALSRSPRD 10.28.21.77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</si>
  <si>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CUARTO DOMINGO DEL MES (MES CALENDARIO):
</t>
    </r>
    <r>
      <rPr>
        <sz val="16"/>
        <color indexed="56"/>
        <rFont val="Verdana"/>
        <family val="2"/>
      </rPr>
      <t>MALLA DE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UNQSRSPRDBKPMEN1</t>
    </r>
    <r>
      <rPr>
        <b/>
        <sz val="16"/>
        <color indexed="56"/>
        <rFont val="Verdana"/>
        <family val="2"/>
      </rPr>
      <t xml:space="preserve">
</t>
    </r>
    <r>
      <rPr>
        <sz val="16"/>
        <color indexed="56"/>
        <rFont val="Verdana"/>
        <family val="2"/>
      </rPr>
      <t>MONITOREO POR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VERIFICAR LA CORRECTA FINALIZACIÓN DEL BACKUP OFFLINE EN SERVIDOR YANBALSRSPRD 10.28.21.77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</si>
  <si>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CUARTO SABADO DEL MES (MES CALENDARIO):
</t>
    </r>
    <r>
      <rPr>
        <sz val="16"/>
        <color indexed="56"/>
        <rFont val="Verdana"/>
        <family val="2"/>
      </rPr>
      <t>MALLA DE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UNQSRSPRDBKPMEN1</t>
    </r>
    <r>
      <rPr>
        <b/>
        <sz val="16"/>
        <color indexed="56"/>
        <rFont val="Verdana"/>
        <family val="2"/>
      </rPr>
      <t xml:space="preserve">
</t>
    </r>
    <r>
      <rPr>
        <sz val="16"/>
        <color indexed="56"/>
        <rFont val="Verdana"/>
        <family val="2"/>
      </rPr>
      <t>MONITOREO POR TWS: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ACTIVAR SERVICIOS EN SERVIDOR YANBALSRSPRD 10.28.21.77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</si>
  <si>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YanbalDSPrd
</t>
    </r>
    <r>
      <rPr>
        <b/>
        <sz val="16"/>
        <rFont val="Verdana"/>
        <family val="2"/>
      </rPr>
      <t>10.28.21.79</t>
    </r>
  </si>
  <si>
    <r>
      <t xml:space="preserve">YanbalDSDevQas
</t>
    </r>
    <r>
      <rPr>
        <b/>
        <sz val="16"/>
        <rFont val="Verdana"/>
        <family val="2"/>
      </rPr>
      <t>10.28.21.205</t>
    </r>
  </si>
  <si>
    <t>UNQO 071</t>
  </si>
  <si>
    <r>
      <t xml:space="preserve">SEGUNDO DOMINGO DEL MES (MES CALENDARIO):
</t>
    </r>
    <r>
      <rPr>
        <sz val="16"/>
        <color indexed="56"/>
        <rFont val="Verdana"/>
        <family val="2"/>
      </rPr>
      <t>PROCESO MANUAL: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VERIFICAR LA CORRECTA FINALIZACIÓN DEL BACKUP OFFLINE EN SERVIDOR YANBALDSPRD 10.28.21.79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</si>
  <si>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SEGUNDO DOMINGO DEL MES (MES CALENDARIO):
</t>
    </r>
    <r>
      <rPr>
        <sz val="16"/>
        <color indexed="56"/>
        <rFont val="Verdana"/>
        <family val="2"/>
      </rPr>
      <t>PROCESO MANUAL: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ACTIVAR SERVICIOS EN SERVIDOR YANBALDSPRD 10.28.21.79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</si>
  <si>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SEGUNDO DOMINGO DEL MES (MES CALENDARIO):
</t>
    </r>
    <r>
      <rPr>
        <sz val="16"/>
        <color indexed="56"/>
        <rFont val="Verdana"/>
        <family val="2"/>
      </rPr>
      <t>PROCESO MANUAL:</t>
    </r>
    <r>
      <rPr>
        <b/>
        <sz val="16"/>
        <color rgb="FFFF0000"/>
        <rFont val="Verdana"/>
        <family val="2"/>
      </rPr>
      <t>EJECUCIÓN DEL BACKUP OFFLINE EN SERVIDOR YANBALDSPRD 10.28.21.79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</si>
  <si>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SEGUNDO DOMINGO DEL MES (MES CALENDARIO):
</t>
    </r>
    <r>
      <rPr>
        <sz val="16"/>
        <color indexed="56"/>
        <rFont val="Verdana"/>
        <family val="2"/>
      </rPr>
      <t xml:space="preserve">PROCESO MANUAL: </t>
    </r>
    <r>
      <rPr>
        <b/>
        <sz val="16"/>
        <color rgb="FFFF0000"/>
        <rFont val="Verdana"/>
        <family val="2"/>
      </rPr>
      <t>DESACTIVAR SERVICIOS EN SERVIDOR YANBALDSPRD 10.28.21.79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</si>
  <si>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SEGUNDO SABADO DEL MES (MES CALENDARIO):
</t>
    </r>
    <r>
      <rPr>
        <sz val="16"/>
        <color indexed="56"/>
        <rFont val="Verdana"/>
        <family val="2"/>
      </rPr>
      <t>PROCESO MANUAL: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DESACTIVAR SERVICIOS EN SERVIDOR YANBALDSDEVQAS 10.28.21.205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</si>
  <si>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SEGUNDO SABADO DEL MES (MES CALENDARIO):
</t>
    </r>
    <r>
      <rPr>
        <sz val="16"/>
        <color indexed="56"/>
        <rFont val="Verdana"/>
        <family val="2"/>
      </rPr>
      <t xml:space="preserve">PROCESO MANUAL: </t>
    </r>
    <r>
      <rPr>
        <b/>
        <sz val="16"/>
        <color rgb="FFFF0000"/>
        <rFont val="Verdana"/>
        <family val="2"/>
      </rPr>
      <t>EJECUCIÓN DEL BACKUP OFFLINE EN SERVIDOR YANBALDSDEVQAS 10.28.21.205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</si>
  <si>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SEGUNDO SABADO DEL MES (MES CALENDARIO):
</t>
    </r>
    <r>
      <rPr>
        <sz val="16"/>
        <color indexed="56"/>
        <rFont val="Verdana"/>
        <family val="2"/>
      </rPr>
      <t>PROCESO MANUAL: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VERIFICAR LA CORRECTA FINALIZACIÓN DEL BACKUP OFFLINE EN SERVIDOR YANBALDSDEVQAS 10.28.21.205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</si>
  <si>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SEGUNDO SABADO DEL MES (MES CALENDARIO):
</t>
    </r>
    <r>
      <rPr>
        <sz val="16"/>
        <color indexed="56"/>
        <rFont val="Verdana"/>
        <family val="2"/>
      </rPr>
      <t>PROCESO MANUAL:</t>
    </r>
    <r>
      <rPr>
        <b/>
        <sz val="16"/>
        <color indexed="5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ACTIVAR SERVICIOS EN SERVIDOR YANBALDSDEVQAS 10.28.21.205</t>
    </r>
    <r>
      <rPr>
        <b/>
        <sz val="16"/>
        <color indexed="56"/>
        <rFont val="Verdana"/>
        <family val="2"/>
      </rPr>
      <t xml:space="preserve">
</t>
    </r>
    <r>
      <rPr>
        <b/>
        <sz val="16"/>
        <color rgb="FF002060"/>
        <rFont val="Verdana"/>
        <family val="2"/>
      </rPr>
      <t>VENTANA MÁXIMA DE EJECUCIÓN:</t>
    </r>
    <r>
      <rPr>
        <b/>
        <sz val="16"/>
        <color indexed="10"/>
        <rFont val="Verdana"/>
        <family val="2"/>
      </rPr>
      <t xml:space="preserve"> 12:00 HRS</t>
    </r>
  </si>
  <si>
    <r>
      <t xml:space="preserve">TP1
YanbalTP1
</t>
    </r>
    <r>
      <rPr>
        <b/>
        <sz val="16"/>
        <rFont val="Verdana"/>
        <family val="2"/>
      </rPr>
      <t xml:space="preserve">10.28.21.106
</t>
    </r>
    <r>
      <rPr>
        <sz val="16"/>
        <rFont val="Verdana"/>
        <family val="2"/>
      </rPr>
      <t>EP1
YanbalEP1</t>
    </r>
    <r>
      <rPr>
        <b/>
        <sz val="16"/>
        <rFont val="Verdana"/>
        <family val="2"/>
      </rPr>
      <t xml:space="preserve">
10.28.21.107
</t>
    </r>
    <r>
      <rPr>
        <sz val="16"/>
        <rFont val="Verdana"/>
        <family val="2"/>
      </rPr>
      <t>PiP1
YanbalPiP1</t>
    </r>
    <r>
      <rPr>
        <b/>
        <sz val="16"/>
        <rFont val="Verdana"/>
        <family val="2"/>
      </rPr>
      <t xml:space="preserve">
10.28.21.108
</t>
    </r>
    <r>
      <rPr>
        <sz val="16"/>
        <rFont val="Verdana"/>
        <family val="2"/>
      </rPr>
      <t>OP1
YanbalOP1</t>
    </r>
    <r>
      <rPr>
        <b/>
        <sz val="16"/>
        <rFont val="Verdana"/>
        <family val="2"/>
      </rPr>
      <t xml:space="preserve">
10.28.21.109</t>
    </r>
    <r>
      <rPr>
        <sz val="16"/>
        <rFont val="Verdana"/>
        <family val="2"/>
      </rPr>
      <t/>
    </r>
  </si>
  <si>
    <r>
      <rPr>
        <b/>
        <sz val="16"/>
        <color rgb="FF002060"/>
        <rFont val="Verdana"/>
        <family val="2"/>
      </rPr>
      <t>SEGUNDO DOMINGO DE CADA CAMPAÑA (REVISAR CALENDARIO UNIQUE)</t>
    </r>
    <r>
      <rPr>
        <sz val="16"/>
        <rFont val="Verdana"/>
        <family val="2"/>
      </rPr>
      <t xml:space="preserve">
</t>
    </r>
    <r>
      <rPr>
        <sz val="16"/>
        <color rgb="FF002060"/>
        <rFont val="Verdana"/>
        <family val="2"/>
      </rPr>
      <t>MALLA DE TWS:</t>
    </r>
    <r>
      <rPr>
        <sz val="1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UNQTMBKPMEN001</t>
    </r>
    <r>
      <rPr>
        <sz val="16"/>
        <rFont val="Verdana"/>
        <family val="2"/>
      </rPr>
      <t xml:space="preserve">
</t>
    </r>
    <r>
      <rPr>
        <sz val="16"/>
        <color rgb="FF002060"/>
        <rFont val="Verdana"/>
        <family val="2"/>
      </rPr>
      <t>MONITOREO POR TWS:</t>
    </r>
    <r>
      <rPr>
        <sz val="1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DESACTIVACION DE SERVICIOS DE INSTANCIAS SAP PARA BACKUP OFFLINE</t>
    </r>
    <r>
      <rPr>
        <sz val="16"/>
        <rFont val="Verdana"/>
        <family val="2"/>
      </rPr>
      <t xml:space="preserve"> </t>
    </r>
    <r>
      <rPr>
        <sz val="16"/>
        <color rgb="FF002060"/>
        <rFont val="Verdana"/>
        <family val="2"/>
      </rPr>
      <t>AMBIENTES SAP:</t>
    </r>
    <r>
      <rPr>
        <sz val="1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 xml:space="preserve">TP1, EP1, PiP1 Y OP1
</t>
    </r>
    <r>
      <rPr>
        <b/>
        <sz val="16"/>
        <color rgb="FF002060"/>
        <rFont val="Verdana"/>
        <family val="2"/>
      </rPr>
      <t xml:space="preserve">VENTANA MÁXIMA DE EJECUCIÓN: </t>
    </r>
    <r>
      <rPr>
        <b/>
        <sz val="16"/>
        <color rgb="FFFF0000"/>
        <rFont val="Verdana"/>
        <family val="2"/>
      </rPr>
      <t>05:00 HRS</t>
    </r>
  </si>
  <si>
    <r>
      <rPr>
        <b/>
        <sz val="16"/>
        <color rgb="FF002060"/>
        <rFont val="Verdana"/>
        <family val="2"/>
      </rPr>
      <t>SEGUNDO DOMINGO DE CADA CAMPAÑA (REVISAR CALENDARIO UNIQUE)</t>
    </r>
    <r>
      <rPr>
        <sz val="16"/>
        <rFont val="Verdana"/>
        <family val="2"/>
      </rPr>
      <t xml:space="preserve">
</t>
    </r>
    <r>
      <rPr>
        <sz val="16"/>
        <color rgb="FF002060"/>
        <rFont val="Verdana"/>
        <family val="2"/>
      </rPr>
      <t>MALLA DE TWS:</t>
    </r>
    <r>
      <rPr>
        <sz val="1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UNQTMBKPMEN001</t>
    </r>
    <r>
      <rPr>
        <sz val="16"/>
        <rFont val="Verdana"/>
        <family val="2"/>
      </rPr>
      <t xml:space="preserve">
</t>
    </r>
    <r>
      <rPr>
        <sz val="16"/>
        <color rgb="FF002060"/>
        <rFont val="Verdana"/>
        <family val="2"/>
      </rPr>
      <t>MONITOREO POR TWS:</t>
    </r>
    <r>
      <rPr>
        <sz val="1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 xml:space="preserve">INICIO DE BACKUP OFFLINE EN SERVIDORES SOLUCIÓN TM SAP
</t>
    </r>
    <r>
      <rPr>
        <sz val="16"/>
        <color rgb="FF002060"/>
        <rFont val="Verdana"/>
        <family val="2"/>
      </rPr>
      <t>SERVIDORES SOLUCIÓN TM SAP:</t>
    </r>
    <r>
      <rPr>
        <sz val="1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 xml:space="preserve">YanbalTP1, YanbalEP1, YanbalPiP1 y YanbalOP1
</t>
    </r>
    <r>
      <rPr>
        <b/>
        <sz val="16"/>
        <color rgb="FF002060"/>
        <rFont val="Verdana"/>
        <family val="2"/>
      </rPr>
      <t xml:space="preserve">VENTANA MÁXIMA DE EJECUCIÓN: </t>
    </r>
    <r>
      <rPr>
        <b/>
        <sz val="16"/>
        <color rgb="FFFF0000"/>
        <rFont val="Verdana"/>
        <family val="2"/>
      </rPr>
      <t>05:00 HRS</t>
    </r>
  </si>
  <si>
    <r>
      <rPr>
        <b/>
        <sz val="16"/>
        <color rgb="FF002060"/>
        <rFont val="Verdana"/>
        <family val="2"/>
      </rPr>
      <t>SEGUNDO DOMINGO DE CADA CAMPAÑA (REVISAR CALENDARIO UNIQUE)</t>
    </r>
    <r>
      <rPr>
        <sz val="16"/>
        <rFont val="Verdana"/>
        <family val="2"/>
      </rPr>
      <t xml:space="preserve">
</t>
    </r>
    <r>
      <rPr>
        <sz val="16"/>
        <color rgb="FF002060"/>
        <rFont val="Verdana"/>
        <family val="2"/>
      </rPr>
      <t>MALLA DE TWS:</t>
    </r>
    <r>
      <rPr>
        <sz val="1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UNQTMBKPMEN001</t>
    </r>
    <r>
      <rPr>
        <sz val="16"/>
        <rFont val="Verdana"/>
        <family val="2"/>
      </rPr>
      <t xml:space="preserve">
</t>
    </r>
    <r>
      <rPr>
        <sz val="16"/>
        <color rgb="FF002060"/>
        <rFont val="Verdana"/>
        <family val="2"/>
      </rPr>
      <t>MONITOREO POR TWS:</t>
    </r>
    <r>
      <rPr>
        <sz val="1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 xml:space="preserve">FIN DE BACKUP OFFLINE EN SERVIDORES SOLUCIÓN TM SAP
</t>
    </r>
    <r>
      <rPr>
        <sz val="16"/>
        <color rgb="FF002060"/>
        <rFont val="Verdana"/>
        <family val="2"/>
      </rPr>
      <t>SERVIDORES SOLUCIÓN TM SAP:</t>
    </r>
    <r>
      <rPr>
        <sz val="1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 xml:space="preserve">YanbalTP1, YanbalEP1, YanbalPiP1 y YanbalOP1
</t>
    </r>
    <r>
      <rPr>
        <b/>
        <sz val="16"/>
        <color rgb="FF002060"/>
        <rFont val="Verdana"/>
        <family val="2"/>
      </rPr>
      <t xml:space="preserve">VENTANA MÁXIMA DE EJECUCIÓN: </t>
    </r>
    <r>
      <rPr>
        <b/>
        <sz val="16"/>
        <color rgb="FFFF0000"/>
        <rFont val="Verdana"/>
        <family val="2"/>
      </rPr>
      <t>05:00 HRS</t>
    </r>
  </si>
  <si>
    <r>
      <rPr>
        <b/>
        <sz val="16"/>
        <color rgb="FF002060"/>
        <rFont val="Verdana"/>
        <family val="2"/>
      </rPr>
      <t>SEGUNDO DOMINGO DE CADA CAMPAÑA (REVISAR CALENDARIO UNIQUE)</t>
    </r>
    <r>
      <rPr>
        <sz val="16"/>
        <rFont val="Verdana"/>
        <family val="2"/>
      </rPr>
      <t xml:space="preserve">
</t>
    </r>
    <r>
      <rPr>
        <sz val="16"/>
        <color rgb="FF002060"/>
        <rFont val="Verdana"/>
        <family val="2"/>
      </rPr>
      <t>MALLA DE TWS:</t>
    </r>
    <r>
      <rPr>
        <sz val="1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UNQTMBKPMEN001</t>
    </r>
    <r>
      <rPr>
        <sz val="16"/>
        <rFont val="Verdana"/>
        <family val="2"/>
      </rPr>
      <t xml:space="preserve">
</t>
    </r>
    <r>
      <rPr>
        <sz val="16"/>
        <color rgb="FF002060"/>
        <rFont val="Verdana"/>
        <family val="2"/>
      </rPr>
      <t>MONITOREO POR TWS:</t>
    </r>
    <r>
      <rPr>
        <sz val="1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>ACTIVACION DE SERVICIOS DE INSTANCIAS SAP PARA BACKUP OFFLINE</t>
    </r>
    <r>
      <rPr>
        <sz val="16"/>
        <rFont val="Verdana"/>
        <family val="2"/>
      </rPr>
      <t xml:space="preserve"> </t>
    </r>
    <r>
      <rPr>
        <sz val="16"/>
        <color rgb="FF002060"/>
        <rFont val="Verdana"/>
        <family val="2"/>
      </rPr>
      <t>AMBIENTES SAP:</t>
    </r>
    <r>
      <rPr>
        <sz val="16"/>
        <rFont val="Verdana"/>
        <family val="2"/>
      </rPr>
      <t xml:space="preserve"> </t>
    </r>
    <r>
      <rPr>
        <b/>
        <sz val="16"/>
        <color rgb="FFFF0000"/>
        <rFont val="Verdana"/>
        <family val="2"/>
      </rPr>
      <t xml:space="preserve">TP1, EP1, PiP1 Y OP1
</t>
    </r>
    <r>
      <rPr>
        <b/>
        <sz val="16"/>
        <color rgb="FF002060"/>
        <rFont val="Verdana"/>
        <family val="2"/>
      </rPr>
      <t xml:space="preserve">VENTANA MÁXIMA DE EJECUCIÓN: </t>
    </r>
    <r>
      <rPr>
        <b/>
        <sz val="16"/>
        <color rgb="FFFF0000"/>
        <rFont val="Verdana"/>
        <family val="2"/>
      </rPr>
      <t>05:00 HRS</t>
    </r>
  </si>
  <si>
    <t xml:space="preserve">GUILLERMO CARDENAS - GC  </t>
  </si>
  <si>
    <t>SI</t>
  </si>
  <si>
    <t>NO</t>
  </si>
  <si>
    <t>ACTIVA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</si>
</sst>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dddd\,\ dd\ mmmm\ yyyy"/>
    <numFmt numFmtId="165" formatCode="00"/>
    <numFmt numFmtId="166" formatCode="000"/>
    <numFmt numFmtId="167" formatCode="&quot;       &quot;General"/>
    <numFmt numFmtId="169" formatCode="[h]\ \ &quot;Hrs.&quot;\ mm\ &quot;Min.&quot;"/>
    <numFmt numFmtId="170" formatCode="hh:mm\ &quot;Hrs.&quot;"/>
    <numFmt numFmtId="171" formatCode="[$-F400]h:mm:ss\ \a\.m\./\p\.m\."/>
    <numFmt numFmtId="172" formatCode="h:mm:ss;@"/>
    <numFmt numFmtId="173" formatCode="hh\ &quot;Hrs.&quot;\ mm\ &quot;Min.&quot;"/>
    <numFmt numFmtId="174" formatCode="00&quot;/&quot;00"/>
    <numFmt numFmtId="176" formatCode="h:mm;@"/>
    <numFmt numFmtId="177" formatCode="0.0000000000000000"/>
    <numFmt numFmtId="179" formatCode="dddd"/>
    <numFmt numFmtId="180" formatCode="[$-F800]dddd\,\ mmmm\ dd\,\ yyyy"/>
  </numFmts>
  <fonts count="59" x14ac:knownFonts="1">
    <font>
      <sz val="10"/>
      <name val="Verdana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indexed="22"/>
      <name val="Verdana"/>
      <family val="2"/>
    </font>
    <font>
      <sz val="12"/>
      <color indexed="56"/>
      <name val="Verdana"/>
      <family val="2"/>
    </font>
    <font>
      <sz val="14"/>
      <name val="Verdana"/>
      <family val="2"/>
    </font>
    <font>
      <sz val="16"/>
      <name val="Verdana"/>
      <family val="2"/>
    </font>
    <font>
      <b/>
      <sz val="28"/>
      <name val="Verdana"/>
      <family val="2"/>
    </font>
    <font>
      <b/>
      <sz val="13"/>
      <color indexed="9"/>
      <name val="Verdana"/>
      <family val="2"/>
    </font>
    <font>
      <b/>
      <sz val="14"/>
      <name val="Verdana"/>
      <family val="2"/>
    </font>
    <font>
      <b/>
      <sz val="16"/>
      <name val="Verdana"/>
      <family val="2"/>
    </font>
    <font>
      <sz val="16"/>
      <color indexed="17"/>
      <name val="Verdana"/>
      <family val="2"/>
    </font>
    <font>
      <b/>
      <sz val="16"/>
      <name val="Verdana"/>
      <family val="2"/>
    </font>
    <font>
      <b/>
      <sz val="16"/>
      <color indexed="9"/>
      <name val="Verdana"/>
      <family val="2"/>
    </font>
    <font>
      <sz val="18"/>
      <name val="Verdana"/>
      <family val="2"/>
    </font>
    <font>
      <b/>
      <sz val="16"/>
      <color indexed="47"/>
      <name val="Verdana"/>
      <family val="2"/>
    </font>
    <font>
      <b/>
      <sz val="16"/>
      <color indexed="41"/>
      <name val="Verdana"/>
      <family val="2"/>
    </font>
    <font>
      <b/>
      <sz val="20"/>
      <color indexed="16"/>
      <name val="Verdana"/>
      <family val="2"/>
    </font>
    <font>
      <sz val="18"/>
      <color indexed="60"/>
      <name val="Verdana"/>
      <family val="2"/>
    </font>
    <font>
      <sz val="18"/>
      <color indexed="56"/>
      <name val="Verdana"/>
      <family val="2"/>
    </font>
    <font>
      <sz val="20"/>
      <name val="Verdana"/>
      <family val="2"/>
    </font>
    <font>
      <sz val="20"/>
      <color indexed="17"/>
      <name val="Verdana"/>
      <family val="2"/>
    </font>
    <font>
      <sz val="17"/>
      <name val="Verdana"/>
      <family val="2"/>
    </font>
    <font>
      <b/>
      <sz val="16"/>
      <color indexed="56"/>
      <name val="Verdana"/>
      <family val="2"/>
    </font>
    <font>
      <b/>
      <sz val="20"/>
      <color indexed="56"/>
      <name val="Verdana"/>
      <family val="2"/>
    </font>
    <font>
      <sz val="14"/>
      <color indexed="56"/>
      <name val="Verdana"/>
      <family val="2"/>
    </font>
    <font>
      <sz val="15"/>
      <name val="Verdana"/>
      <family val="2"/>
    </font>
    <font>
      <b/>
      <sz val="12"/>
      <color indexed="9"/>
      <name val="Verdana"/>
      <family val="2"/>
    </font>
    <font>
      <sz val="10"/>
      <name val="Verdana"/>
      <family val="2"/>
    </font>
    <font>
      <sz val="18"/>
      <name val="Tahoma"/>
      <family val="2"/>
    </font>
    <font>
      <sz val="16"/>
      <name val="Tahoma"/>
      <family val="2"/>
    </font>
    <font>
      <b/>
      <sz val="16"/>
      <name val="Tahoma"/>
      <family val="2"/>
    </font>
    <font>
      <sz val="10"/>
      <name val="Tahoma"/>
      <family val="2"/>
    </font>
    <font>
      <sz val="12"/>
      <name val="Verdana"/>
      <family val="2"/>
    </font>
    <font>
      <sz val="12"/>
      <color theme="0"/>
      <name val="Verdana"/>
      <family val="2"/>
    </font>
    <font>
      <b/>
      <sz val="12"/>
      <name val="Verdana"/>
      <family val="2"/>
    </font>
    <font>
      <sz val="10"/>
      <color theme="1"/>
      <name val="Verdana"/>
      <family val="2"/>
    </font>
    <font>
      <b/>
      <sz val="18"/>
      <color theme="9" tint="-0.499984740745262"/>
      <name val="Tahoma"/>
      <family val="2"/>
    </font>
    <font>
      <b/>
      <sz val="16"/>
      <color rgb="FFFF0000"/>
      <name val="Verdana"/>
      <family val="2"/>
    </font>
    <font>
      <sz val="16"/>
      <color indexed="56"/>
      <name val="Verdana"/>
      <family val="2"/>
    </font>
    <font>
      <b/>
      <sz val="16"/>
      <color rgb="FF002060"/>
      <name val="Verdana"/>
      <family val="2"/>
    </font>
    <font>
      <b/>
      <sz val="16"/>
      <color rgb="FF000099"/>
      <name val="Verdana"/>
      <family val="2"/>
    </font>
    <font>
      <b/>
      <sz val="16"/>
      <color indexed="10"/>
      <name val="Tahoma"/>
      <family val="2"/>
    </font>
    <font>
      <b/>
      <sz val="16"/>
      <color indexed="30"/>
      <name val="Tahoma"/>
      <family val="2"/>
    </font>
    <font>
      <b/>
      <sz val="16"/>
      <color rgb="FFFF0000"/>
      <name val="Tahoma"/>
      <family val="2"/>
    </font>
    <font>
      <b/>
      <sz val="16"/>
      <color theme="1"/>
      <name val="Tahoma"/>
      <family val="2"/>
    </font>
    <font>
      <b/>
      <sz val="16"/>
      <color rgb="FF002060"/>
      <name val="Tahoma"/>
      <family val="2"/>
    </font>
    <font>
      <b/>
      <sz val="16"/>
      <color indexed="17"/>
      <name val="Tahoma"/>
      <family val="2"/>
    </font>
    <font>
      <b/>
      <sz val="16"/>
      <color indexed="56"/>
      <name val="Tahoma"/>
      <family val="2"/>
    </font>
    <font>
      <b/>
      <sz val="16"/>
      <color rgb="FF000066"/>
      <name val="Verdana"/>
      <family val="2"/>
    </font>
    <font>
      <b/>
      <sz val="16"/>
      <color rgb="FF336600"/>
      <name val="Verdana"/>
      <family val="2"/>
    </font>
    <font>
      <b/>
      <sz val="16"/>
      <color theme="3" tint="0.39997558519241921"/>
      <name val="Tahoma"/>
      <family val="2"/>
    </font>
    <font>
      <b/>
      <sz val="16"/>
      <color indexed="11"/>
      <name val="Tahoma"/>
      <family val="2"/>
    </font>
    <font>
      <b/>
      <sz val="16"/>
      <color theme="3"/>
      <name val="Verdana"/>
      <family val="2"/>
    </font>
    <font>
      <sz val="16"/>
      <color rgb="FF002060"/>
      <name val="Verdana"/>
      <family val="2"/>
    </font>
    <font>
      <b/>
      <sz val="16"/>
      <color indexed="10"/>
      <name val="Verdana"/>
      <family val="2"/>
    </font>
    <font>
      <sz val="16"/>
      <color rgb="FFFF0000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0" fillId="0" borderId="0"/>
    <xf numFmtId="0" fontId="1" fillId="0" borderId="0"/>
  </cellStyleXfs>
  <cellXfs count="12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5" fillId="0" borderId="0" xfId="0" applyFont="1"/>
    <xf numFmtId="0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64" fontId="8" fillId="0" borderId="0" xfId="0" applyNumberFormat="1" applyFont="1" applyAlignment="1">
      <alignment horizontal="left" vertical="center" wrapText="1" shrinkToFit="1"/>
    </xf>
    <xf numFmtId="0" fontId="9" fillId="0" borderId="0" xfId="0" applyFont="1" applyAlignment="1">
      <alignment horizontal="center" vertical="center"/>
    </xf>
    <xf numFmtId="0" fontId="0" fillId="0" borderId="0" xfId="0" applyFill="1" applyBorder="1" applyAlignment="1">
      <alignment vertical="center"/>
    </xf>
    <xf numFmtId="176" fontId="0" fillId="0" borderId="0" xfId="0" applyNumberFormat="1" applyAlignment="1">
      <alignment vertical="center"/>
    </xf>
    <xf numFmtId="172" fontId="0" fillId="0" borderId="0" xfId="0" applyNumberFormat="1"/>
    <xf numFmtId="177" fontId="0" fillId="0" borderId="0" xfId="0" applyNumberFormat="1"/>
    <xf numFmtId="0" fontId="8" fillId="0" borderId="0" xfId="0" applyFont="1" applyAlignment="1">
      <alignment vertical="center"/>
    </xf>
    <xf numFmtId="0" fontId="10" fillId="3" borderId="1" xfId="0" applyFont="1" applyFill="1" applyBorder="1" applyAlignment="1">
      <alignment horizontal="center" vertical="center" wrapText="1" shrinkToFit="1"/>
    </xf>
    <xf numFmtId="0" fontId="9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24" fillId="0" borderId="2" xfId="0" applyFont="1" applyFill="1" applyBorder="1" applyAlignment="1">
      <alignment horizontal="left" vertical="center" wrapText="1" shrinkToFit="1"/>
    </xf>
    <xf numFmtId="170" fontId="19" fillId="0" borderId="2" xfId="0" applyNumberFormat="1" applyFont="1" applyFill="1" applyBorder="1" applyAlignment="1">
      <alignment horizontal="center" vertical="center" wrapText="1" shrinkToFit="1"/>
    </xf>
    <xf numFmtId="165" fontId="16" fillId="0" borderId="2" xfId="0" applyNumberFormat="1" applyFont="1" applyFill="1" applyBorder="1" applyAlignment="1">
      <alignment horizontal="center" vertical="center"/>
    </xf>
    <xf numFmtId="0" fontId="20" fillId="0" borderId="2" xfId="0" applyFont="1" applyFill="1" applyBorder="1" applyAlignment="1">
      <alignment horizontal="center" vertical="center" wrapText="1" shrinkToFit="1"/>
    </xf>
    <xf numFmtId="0" fontId="21" fillId="0" borderId="2" xfId="0" applyFont="1" applyFill="1" applyBorder="1" applyAlignment="1">
      <alignment horizontal="center" vertical="center" wrapText="1" shrinkToFit="1"/>
    </xf>
    <xf numFmtId="0" fontId="22" fillId="0" borderId="2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174" fontId="8" fillId="0" borderId="2" xfId="0" applyNumberFormat="1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169" fontId="8" fillId="0" borderId="2" xfId="0" applyNumberFormat="1" applyFont="1" applyFill="1" applyBorder="1" applyAlignment="1">
      <alignment horizontal="center" vertical="center" shrinkToFit="1"/>
    </xf>
    <xf numFmtId="0" fontId="0" fillId="0" borderId="2" xfId="0" applyFill="1" applyBorder="1"/>
    <xf numFmtId="0" fontId="0" fillId="0" borderId="0" xfId="0" applyFill="1"/>
    <xf numFmtId="0" fontId="10" fillId="3" borderId="2" xfId="0" applyFont="1" applyFill="1" applyBorder="1" applyAlignment="1">
      <alignment horizontal="center" vertical="center" wrapText="1" shrinkToFit="1"/>
    </xf>
    <xf numFmtId="0" fontId="15" fillId="3" borderId="2" xfId="0" applyFont="1" applyFill="1" applyBorder="1" applyAlignment="1">
      <alignment horizontal="center" vertical="center" wrapText="1" shrinkToFit="1"/>
    </xf>
    <xf numFmtId="0" fontId="17" fillId="3" borderId="2" xfId="0" applyFont="1" applyFill="1" applyBorder="1" applyAlignment="1">
      <alignment horizontal="center" vertical="center" wrapText="1" shrinkToFit="1"/>
    </xf>
    <xf numFmtId="0" fontId="18" fillId="3" borderId="2" xfId="0" applyFont="1" applyFill="1" applyBorder="1" applyAlignment="1">
      <alignment horizontal="center" vertical="center" wrapText="1" shrinkToFit="1"/>
    </xf>
    <xf numFmtId="0" fontId="29" fillId="3" borderId="2" xfId="0" applyFont="1" applyFill="1" applyBorder="1" applyAlignment="1">
      <alignment horizontal="center" vertical="center" wrapText="1" shrinkToFit="1"/>
    </xf>
    <xf numFmtId="166" fontId="4" fillId="0" borderId="2" xfId="0" applyNumberFormat="1" applyFont="1" applyFill="1" applyBorder="1" applyAlignment="1">
      <alignment horizontal="center" vertical="center" wrapText="1" shrinkToFit="1"/>
    </xf>
    <xf numFmtId="0" fontId="8" fillId="0" borderId="2" xfId="0" applyFont="1" applyFill="1" applyBorder="1" applyAlignment="1">
      <alignment horizontal="center" vertical="center" shrinkToFit="1"/>
    </xf>
    <xf numFmtId="166" fontId="11" fillId="0" borderId="2" xfId="0" applyNumberFormat="1" applyFont="1" applyFill="1" applyBorder="1" applyAlignment="1">
      <alignment horizontal="center" vertical="center" wrapText="1" shrinkToFit="1"/>
    </xf>
    <xf numFmtId="0" fontId="13" fillId="0" borderId="2" xfId="0" applyFont="1" applyFill="1" applyBorder="1" applyAlignment="1">
      <alignment horizontal="center" vertical="center" shrinkToFit="1"/>
    </xf>
    <xf numFmtId="0" fontId="0" fillId="0" borderId="0" xfId="0" applyFill="1" applyBorder="1"/>
    <xf numFmtId="0" fontId="0" fillId="0" borderId="0" xfId="0" applyFill="1" applyAlignment="1">
      <alignment vertical="center"/>
    </xf>
    <xf numFmtId="20" fontId="0" fillId="0" borderId="0" xfId="0" applyNumberFormat="1" applyFill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 wrapText="1" shrinkToFit="1"/>
    </xf>
    <xf numFmtId="0" fontId="29" fillId="3" borderId="3" xfId="0" applyFont="1" applyFill="1" applyBorder="1" applyAlignment="1">
      <alignment horizontal="center" vertical="center" wrapText="1" shrinkToFit="1"/>
    </xf>
    <xf numFmtId="0" fontId="29" fillId="3" borderId="4" xfId="0" applyFont="1" applyFill="1" applyBorder="1" applyAlignment="1">
      <alignment horizontal="center" vertical="center" wrapText="1" shrinkToFit="1"/>
    </xf>
    <xf numFmtId="0" fontId="35" fillId="0" borderId="0" xfId="0" applyFont="1"/>
    <xf numFmtId="0" fontId="32" fillId="0" borderId="2" xfId="0" applyFont="1" applyFill="1" applyBorder="1" applyAlignment="1">
      <alignment horizontal="center" vertical="center" wrapText="1" shrinkToFit="1"/>
    </xf>
    <xf numFmtId="0" fontId="25" fillId="2" borderId="2" xfId="0" applyFont="1" applyFill="1" applyBorder="1" applyAlignment="1">
      <alignment horizontal="center" vertical="center" wrapText="1" shrinkToFit="1"/>
    </xf>
    <xf numFmtId="0" fontId="28" fillId="0" borderId="2" xfId="0" applyFont="1" applyFill="1" applyBorder="1" applyAlignment="1">
      <alignment horizontal="center" vertical="center"/>
    </xf>
    <xf numFmtId="0" fontId="29" fillId="3" borderId="6" xfId="0" applyFont="1" applyFill="1" applyBorder="1" applyAlignment="1">
      <alignment horizontal="center" vertical="center" wrapText="1" shrinkToFit="1"/>
    </xf>
    <xf numFmtId="0" fontId="0" fillId="5" borderId="0" xfId="0" applyFill="1"/>
    <xf numFmtId="0" fontId="0" fillId="5" borderId="0" xfId="0" applyFill="1" applyAlignment="1">
      <alignment vertical="center"/>
    </xf>
    <xf numFmtId="0" fontId="3" fillId="5" borderId="0" xfId="0" applyFont="1" applyFill="1"/>
    <xf numFmtId="0" fontId="3" fillId="5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36" fillId="3" borderId="2" xfId="0" applyFont="1" applyFill="1" applyBorder="1" applyAlignment="1">
      <alignment horizontal="center" vertical="center" wrapText="1" shrinkToFit="1"/>
    </xf>
    <xf numFmtId="0" fontId="0" fillId="5" borderId="0" xfId="0" applyFill="1" applyAlignment="1">
      <alignment vertical="center"/>
    </xf>
    <xf numFmtId="0" fontId="0" fillId="0" borderId="0" xfId="0"/>
    <xf numFmtId="0" fontId="8" fillId="0" borderId="2" xfId="0" applyFont="1" applyFill="1" applyBorder="1" applyAlignment="1">
      <alignment horizontal="center" vertical="center" wrapText="1" shrinkToFit="1"/>
    </xf>
    <xf numFmtId="0" fontId="38" fillId="0" borderId="2" xfId="0" applyFont="1" applyFill="1" applyBorder="1" applyAlignment="1">
      <alignment horizontal="center" vertical="center"/>
    </xf>
    <xf numFmtId="0" fontId="30" fillId="0" borderId="0" xfId="1" applyAlignment="1">
      <alignment vertical="center"/>
    </xf>
    <xf numFmtId="0" fontId="30" fillId="0" borderId="0" xfId="1" applyFont="1" applyAlignment="1">
      <alignment vertical="center"/>
    </xf>
    <xf numFmtId="0" fontId="9" fillId="0" borderId="0" xfId="1" applyFont="1" applyAlignment="1">
      <alignment horizontal="center" vertical="center"/>
    </xf>
    <xf numFmtId="0" fontId="30" fillId="0" borderId="0" xfId="1" applyFill="1" applyAlignment="1">
      <alignment vertical="center"/>
    </xf>
    <xf numFmtId="0" fontId="30" fillId="5" borderId="0" xfId="1" applyFill="1" applyAlignment="1">
      <alignment vertical="center"/>
    </xf>
    <xf numFmtId="170" fontId="16" fillId="5" borderId="10" xfId="1" applyNumberFormat="1" applyFont="1" applyFill="1" applyBorder="1" applyAlignment="1">
      <alignment horizontal="center" vertical="center" wrapText="1" shrinkToFit="1"/>
    </xf>
    <xf numFmtId="0" fontId="37" fillId="5" borderId="6" xfId="1" applyFont="1" applyFill="1" applyBorder="1" applyAlignment="1">
      <alignment horizontal="center" vertical="center" wrapText="1" shrinkToFit="1"/>
    </xf>
    <xf numFmtId="0" fontId="9" fillId="0" borderId="0" xfId="1" applyFont="1" applyFill="1" applyAlignment="1">
      <alignment horizontal="center" vertical="center"/>
    </xf>
    <xf numFmtId="0" fontId="30" fillId="0" borderId="0" xfId="1" applyFont="1" applyFill="1" applyAlignment="1">
      <alignment vertical="center"/>
    </xf>
    <xf numFmtId="170" fontId="16" fillId="5" borderId="8" xfId="1" applyNumberFormat="1" applyFont="1" applyFill="1" applyBorder="1" applyAlignment="1">
      <alignment horizontal="center" vertical="center" wrapText="1" shrinkToFit="1"/>
    </xf>
    <xf numFmtId="170" fontId="16" fillId="5" borderId="9" xfId="1" applyNumberFormat="1" applyFont="1" applyFill="1" applyBorder="1" applyAlignment="1">
      <alignment horizontal="center" vertical="center" wrapText="1" shrinkToFit="1"/>
    </xf>
    <xf numFmtId="170" fontId="31" fillId="5" borderId="9" xfId="1" applyNumberFormat="1" applyFont="1" applyFill="1" applyBorder="1" applyAlignment="1">
      <alignment horizontal="center" vertical="center" wrapText="1" shrinkToFit="1"/>
    </xf>
    <xf numFmtId="0" fontId="8" fillId="0" borderId="11" xfId="0" applyFont="1" applyFill="1" applyBorder="1" applyAlignment="1">
      <alignment vertical="center"/>
    </xf>
    <xf numFmtId="0" fontId="8" fillId="0" borderId="11" xfId="0" applyFont="1" applyFill="1" applyBorder="1" applyAlignment="1">
      <alignment vertical="center" wrapText="1"/>
    </xf>
    <xf numFmtId="0" fontId="2" fillId="0" borderId="2" xfId="0" applyFont="1" applyFill="1" applyBorder="1" applyAlignment="1">
      <alignment horizontal="center"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/>
    <xf numFmtId="0" fontId="0" fillId="0" borderId="0" xfId="0" applyAlignment="1">
      <alignment horizontal="center" vertical="center"/>
    </xf>
    <xf numFmtId="0" fontId="29" fillId="3" borderId="0" xfId="0" applyFont="1" applyFill="1" applyBorder="1" applyAlignment="1">
      <alignment horizontal="center" vertical="center" wrapText="1" shrinkToFit="1"/>
    </xf>
    <xf numFmtId="167" fontId="6" fillId="0" borderId="0" xfId="0" applyNumberFormat="1" applyFont="1" applyFill="1" applyAlignment="1">
      <alignment vertical="center"/>
    </xf>
    <xf numFmtId="0" fontId="27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 shrinkToFit="1"/>
    </xf>
    <xf numFmtId="0" fontId="6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8" fillId="0" borderId="14" xfId="0" applyFont="1" applyBorder="1" applyAlignment="1">
      <alignment horizontal="center" vertical="center"/>
    </xf>
    <xf numFmtId="179" fontId="26" fillId="2" borderId="13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 shrinkToFit="1"/>
    </xf>
    <xf numFmtId="0" fontId="25" fillId="2" borderId="13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 shrinkToFit="1"/>
    </xf>
    <xf numFmtId="0" fontId="32" fillId="0" borderId="2" xfId="0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0" fontId="0" fillId="4" borderId="0" xfId="0" applyFill="1" applyBorder="1"/>
    <xf numFmtId="0" fontId="8" fillId="4" borderId="11" xfId="0" applyFont="1" applyFill="1" applyBorder="1" applyAlignment="1">
      <alignment vertical="center"/>
    </xf>
    <xf numFmtId="170" fontId="19" fillId="4" borderId="2" xfId="0" applyNumberFormat="1" applyFont="1" applyFill="1" applyBorder="1" applyAlignment="1">
      <alignment horizontal="center" vertical="center" wrapText="1" shrinkToFit="1"/>
    </xf>
    <xf numFmtId="165" fontId="16" fillId="4" borderId="2" xfId="0" applyNumberFormat="1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 wrapText="1" shrinkToFit="1"/>
    </xf>
    <xf numFmtId="0" fontId="8" fillId="4" borderId="5" xfId="0" applyFont="1" applyFill="1" applyBorder="1" applyAlignment="1">
      <alignment horizontal="left" vertical="center" wrapText="1" shrinkToFit="1"/>
    </xf>
    <xf numFmtId="0" fontId="33" fillId="4" borderId="5" xfId="0" applyFont="1" applyFill="1" applyBorder="1" applyAlignment="1">
      <alignment horizontal="left" vertical="center" wrapText="1" shrinkToFit="1"/>
    </xf>
    <xf numFmtId="0" fontId="50" fillId="4" borderId="5" xfId="0" applyFont="1" applyFill="1" applyBorder="1" applyAlignment="1">
      <alignment horizontal="left" vertical="center" wrapText="1" shrinkToFit="1"/>
    </xf>
    <xf numFmtId="0" fontId="8" fillId="4" borderId="12" xfId="0" applyFont="1" applyFill="1" applyBorder="1" applyAlignment="1">
      <alignment vertical="center"/>
    </xf>
    <xf numFmtId="0" fontId="48" fillId="4" borderId="5" xfId="0" applyFont="1" applyFill="1" applyBorder="1" applyAlignment="1">
      <alignment horizontal="left" vertical="center" wrapText="1" shrinkToFit="1"/>
    </xf>
    <xf numFmtId="170" fontId="16" fillId="0" borderId="2" xfId="0" applyNumberFormat="1" applyFont="1" applyFill="1" applyBorder="1" applyAlignment="1">
      <alignment horizontal="center" vertical="center" wrapText="1" shrinkToFit="1"/>
    </xf>
    <xf numFmtId="170" fontId="16" fillId="4" borderId="2" xfId="0" applyNumberFormat="1" applyFont="1" applyFill="1" applyBorder="1" applyAlignment="1">
      <alignment horizontal="center" vertical="center" wrapText="1" shrinkToFit="1"/>
    </xf>
    <xf numFmtId="170" fontId="12" fillId="0" borderId="7" xfId="0" applyNumberFormat="1" applyFont="1" applyFill="1" applyBorder="1" applyAlignment="1">
      <alignment horizontal="center" vertical="center" wrapText="1" shrinkToFit="1"/>
    </xf>
    <xf numFmtId="173" fontId="12" fillId="0" borderId="2" xfId="0" applyNumberFormat="1" applyFont="1" applyFill="1" applyBorder="1" applyAlignment="1">
      <alignment horizontal="center" vertical="center" wrapText="1" shrinkToFit="1"/>
    </xf>
    <xf numFmtId="170" fontId="12" fillId="0" borderId="2" xfId="0" applyNumberFormat="1" applyFont="1" applyFill="1" applyBorder="1" applyAlignment="1">
      <alignment horizontal="center" vertical="center" wrapText="1" shrinkToFit="1"/>
    </xf>
    <xf numFmtId="170" fontId="12" fillId="4" borderId="7" xfId="0" applyNumberFormat="1" applyFont="1" applyFill="1" applyBorder="1" applyAlignment="1">
      <alignment horizontal="center" vertical="center" wrapText="1" shrinkToFit="1"/>
    </xf>
    <xf numFmtId="173" fontId="12" fillId="4" borderId="2" xfId="0" applyNumberFormat="1" applyFont="1" applyFill="1" applyBorder="1" applyAlignment="1">
      <alignment horizontal="center" vertical="center" wrapText="1" shrinkToFit="1"/>
    </xf>
    <xf numFmtId="170" fontId="16" fillId="5" borderId="7" xfId="1" applyNumberFormat="1" applyFont="1" applyFill="1" applyBorder="1" applyAlignment="1">
      <alignment horizontal="center" vertical="center" wrapText="1" shrinkToFit="1"/>
    </xf>
    <xf numFmtId="0" fontId="8" fillId="4" borderId="2" xfId="0" applyFont="1" applyFill="1" applyBorder="1" applyAlignment="1">
      <alignment horizontal="left" vertical="center" wrapText="1" shrinkToFit="1"/>
    </xf>
    <xf numFmtId="0" fontId="8" fillId="4" borderId="2" xfId="0" applyFont="1" applyFill="1" applyBorder="1" applyAlignment="1">
      <alignment vertical="center"/>
    </xf>
    <xf numFmtId="170" fontId="12" fillId="4" borderId="2" xfId="0" applyNumberFormat="1" applyFont="1" applyFill="1" applyBorder="1" applyAlignment="1">
      <alignment horizontal="center" vertical="center" wrapText="1" shrinkToFit="1"/>
    </xf>
    <xf numFmtId="0" fontId="25" fillId="4" borderId="5" xfId="0" applyFont="1" applyFill="1" applyBorder="1" applyAlignment="1">
      <alignment horizontal="left" vertical="center" wrapText="1" shrinkToFit="1"/>
    </xf>
    <xf numFmtId="0" fontId="2" fillId="0" borderId="0" xfId="0" applyFont="1" applyFill="1"/>
    <xf numFmtId="0" fontId="3" fillId="0" borderId="0" xfId="0" applyFont="1" applyAlignment="1">
      <alignment horizontal="center" vertical="center"/>
    </xf>
    <xf numFmtId="180" fontId="8" fillId="0" borderId="14" xfId="0" applyNumberFormat="1" applyFont="1" applyBorder="1" applyAlignment="1">
      <alignment horizontal="center" vertical="center"/>
    </xf>
    <xf numFmtId="180" fontId="8" fillId="0" borderId="16" xfId="0" applyNumberFormat="1" applyFont="1" applyBorder="1" applyAlignment="1">
      <alignment horizontal="center" vertical="center"/>
    </xf>
    <xf numFmtId="180" fontId="8" fillId="0" borderId="15" xfId="0" applyNumberFormat="1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14" fillId="0" borderId="0" xfId="0" applyFont="1" applyFill="1" applyAlignment="1">
      <alignment horizontal="center" vertical="center" wrapText="1"/>
    </xf>
  </cellXfs>
  <cellStyles count="3">
    <cellStyle name="Normal" xfId="0" builtinId="0"/>
    <cellStyle name="Normal 2" xfId="1"/>
    <cellStyle name="Normal 3" xfId="2"/>
  </cellStyles>
  <dxfs count="548"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31"/>
      </font>
      <fill>
        <patternFill>
          <bgColor indexed="31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5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  <dxf>
      <font>
        <condense val="0"/>
        <extend val="0"/>
        <color indexed="18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>
          <bgColor indexed="22"/>
        </patternFill>
      </fill>
    </dxf>
  </dxfs>
  <tableStyles count="0" defaultTableStyle="TableStyleMedium9" defaultPivotStyle="PivotStyleLight16"/>
  <colors>
    <mruColors>
      <color rgb="FFCCFF66"/>
      <color rgb="FF000099"/>
      <color rgb="FF003399"/>
      <color rgb="FF336600"/>
      <color rgb="FF009900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0</xdr:colOff>
      <xdr:row>0</xdr:row>
      <xdr:rowOff>0</xdr:rowOff>
    </xdr:from>
    <xdr:to>
      <xdr:col>55</xdr:col>
      <xdr:colOff>295274</xdr:colOff>
      <xdr:row>19</xdr:row>
      <xdr:rowOff>217695</xdr:rowOff>
    </xdr:to>
    <xdr:pic>
      <xdr:nvPicPr>
        <xdr:cNvPr id="19302" name="Picture 374">
          <a:extLst>
            <a:ext uri="{FF2B5EF4-FFF2-40B4-BE49-F238E27FC236}">
              <a16:creationId xmlns:a16="http://schemas.microsoft.com/office/drawing/2014/main" id="{00000000-0008-0000-0100-0000664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contrast="42000"/>
        </a:blip>
        <a:srcRect/>
        <a:stretch>
          <a:fillRect/>
        </a:stretch>
      </xdr:blipFill>
      <xdr:spPr bwMode="auto">
        <a:xfrm>
          <a:off x="40271700" y="0"/>
          <a:ext cx="7153275" cy="2714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19</xdr:col>
      <xdr:colOff>952501</xdr:colOff>
      <xdr:row>3</xdr:row>
      <xdr:rowOff>38100</xdr:rowOff>
    </xdr:from>
    <xdr:to>
      <xdr:col>20</xdr:col>
      <xdr:colOff>1033293</xdr:colOff>
      <xdr:row>17</xdr:row>
      <xdr:rowOff>190500</xdr:rowOff>
    </xdr:to>
    <xdr:pic macro="[0]!PDFActiveSheet">
      <xdr:nvPicPr>
        <xdr:cNvPr id="4" name="3 Imagen" descr="http://sobreconceptos.com/wp-content/uploads/upload-green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17751" y="838200"/>
          <a:ext cx="1357143" cy="133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indexed="48"/>
    <pageSetUpPr fitToPage="1"/>
  </sheetPr>
  <dimension ref="A1:AT128"/>
  <sheetViews>
    <sheetView tabSelected="1" zoomScale="55" zoomScaleNormal="55" zoomScaleSheetLayoutView="50" workbookViewId="0">
      <pane ySplit="20" topLeftCell="A21" activePane="bottomLeft" state="frozenSplit"/>
      <selection pane="bottomLeft" activeCell="I4" sqref="I4"/>
    </sheetView>
  </sheetViews>
  <sheetFormatPr defaultColWidth="9" defaultRowHeight="12.75" x14ac:dyDescent="0.2"/>
  <cols>
    <col min="1" max="1" width="10.875" customWidth="1"/>
    <col min="2" max="2" width="12.125" customWidth="1"/>
    <col min="3" max="3" width="5.125" style="60" customWidth="1"/>
    <col min="4" max="4" width="4.625" style="60" customWidth="1"/>
    <col min="5" max="5" width="4.625" customWidth="1"/>
    <col min="6" max="6" width="4.875" customWidth="1"/>
    <col min="7" max="7" width="4.375" customWidth="1"/>
    <col min="8" max="8" width="4.625" customWidth="1"/>
    <col min="9" max="9" width="4.375" customWidth="1"/>
    <col min="10" max="10" width="5.125" style="30" customWidth="1"/>
    <col min="11" max="11" width="4.875" style="30" customWidth="1"/>
    <col min="12" max="12" width="5.125" customWidth="1"/>
    <col min="13" max="13" width="17.625" customWidth="1"/>
    <col min="14" max="14" width="15.875" bestFit="1" customWidth="1"/>
    <col min="15" max="15" width="19.875" bestFit="1" customWidth="1"/>
    <col min="16" max="16" width="27.375" customWidth="1"/>
    <col min="17" max="17" width="20.125" hidden="1" customWidth="1"/>
    <col min="18" max="18" width="32.125" customWidth="1"/>
    <col min="19" max="19" width="165.625" customWidth="1"/>
    <col min="20" max="21" width="16.625" customWidth="1"/>
    <col min="22" max="22" width="17.125" hidden="1" customWidth="1"/>
    <col min="23" max="23" width="14.625" hidden="1" customWidth="1"/>
    <col min="24" max="24" width="19.25" hidden="1" customWidth="1"/>
    <col min="25" max="25" width="28.25" hidden="1" customWidth="1"/>
    <col min="26" max="26" width="12.625" hidden="1" customWidth="1"/>
    <col min="27" max="27" width="15.625" customWidth="1"/>
    <col min="28" max="30" width="15.625" style="60" hidden="1" customWidth="1"/>
    <col min="31" max="31" width="26.625" customWidth="1"/>
    <col min="32" max="32" width="44.75" style="1" hidden="1" customWidth="1"/>
    <col min="33" max="34" width="35.625" hidden="1" customWidth="1"/>
    <col min="35" max="35" width="7.625" hidden="1" customWidth="1"/>
    <col min="36" max="36" width="6.625" hidden="1" customWidth="1"/>
    <col min="37" max="37" width="50.625" hidden="1" customWidth="1"/>
    <col min="38" max="38" width="9.625" hidden="1" customWidth="1"/>
    <col min="39" max="39" width="19.125" hidden="1" customWidth="1"/>
    <col min="40" max="40" width="14.625" hidden="1" customWidth="1"/>
    <col min="41" max="41" width="11.5" hidden="1" customWidth="1"/>
    <col min="42" max="42" width="46.375" style="80" hidden="1" customWidth="1"/>
    <col min="43" max="43" width="24.5" hidden="1" customWidth="1"/>
    <col min="44" max="44" width="23" hidden="1" customWidth="1"/>
    <col min="45" max="45" width="23" style="60" hidden="1" customWidth="1"/>
  </cols>
  <sheetData>
    <row r="1" spans="2:42" ht="13.5" thickBot="1" x14ac:dyDescent="0.25">
      <c r="E1" s="1"/>
      <c r="F1" s="1"/>
      <c r="G1" s="1"/>
      <c r="H1" s="1"/>
      <c r="I1" s="1"/>
      <c r="J1" s="41"/>
      <c r="K1" s="56"/>
      <c r="L1" s="56"/>
      <c r="M1" s="56"/>
      <c r="N1" s="1"/>
      <c r="O1" s="1"/>
      <c r="P1" s="1"/>
      <c r="Q1" s="1"/>
      <c r="R1" s="1"/>
      <c r="S1" s="1" t="s">
        <v>60</v>
      </c>
      <c r="T1" s="1"/>
      <c r="U1" s="1"/>
      <c r="V1" s="1"/>
      <c r="W1" s="1"/>
      <c r="X1" s="1"/>
      <c r="Y1" s="1"/>
      <c r="Z1" s="1"/>
      <c r="AA1" s="1"/>
      <c r="AB1" s="63"/>
      <c r="AC1" s="63"/>
      <c r="AD1" s="66"/>
      <c r="AE1" s="1"/>
      <c r="AG1" s="1"/>
      <c r="AH1" s="1"/>
      <c r="AI1" s="1"/>
      <c r="AJ1" s="1"/>
      <c r="AK1" s="1"/>
      <c r="AL1" s="1"/>
      <c r="AM1" s="1"/>
      <c r="AN1" s="1"/>
    </row>
    <row r="2" spans="2:42" ht="36" thickBot="1" x14ac:dyDescent="0.25">
      <c r="B2" s="10"/>
      <c r="C2" s="10"/>
      <c r="D2" s="10"/>
      <c r="E2" s="9"/>
      <c r="F2" s="1"/>
      <c r="G2" s="1"/>
      <c r="H2" s="1"/>
      <c r="I2" s="1"/>
      <c r="J2" s="41"/>
      <c r="K2" s="56"/>
      <c r="L2" s="56"/>
      <c r="M2" s="56"/>
      <c r="N2" s="123" t="s">
        <v>44</v>
      </c>
      <c r="O2" s="124"/>
      <c r="P2" s="124"/>
      <c r="Q2" s="124"/>
      <c r="R2" s="124"/>
      <c r="S2" s="124"/>
      <c r="T2" s="124"/>
      <c r="U2" s="125"/>
      <c r="V2" s="124"/>
      <c r="W2" s="124"/>
      <c r="X2" s="124"/>
      <c r="Y2" s="124"/>
      <c r="Z2" s="125"/>
      <c r="AA2" s="14"/>
      <c r="AB2" s="65"/>
      <c r="AC2" s="65"/>
      <c r="AD2" s="70"/>
      <c r="AE2" s="14"/>
      <c r="AF2" s="14"/>
      <c r="AG2" s="14"/>
      <c r="AH2" s="14"/>
      <c r="AI2" s="14"/>
      <c r="AJ2" s="14"/>
      <c r="AK2" s="7"/>
      <c r="AL2" s="7"/>
      <c r="AM2" s="7"/>
      <c r="AN2" s="7"/>
    </row>
    <row r="3" spans="2:42" ht="13.5" thickBot="1" x14ac:dyDescent="0.25">
      <c r="B3" s="11"/>
      <c r="C3" s="11"/>
      <c r="D3" s="11"/>
      <c r="E3" s="1"/>
      <c r="F3" s="1"/>
      <c r="G3" s="1"/>
      <c r="H3" s="1"/>
      <c r="I3" s="1"/>
      <c r="J3" s="42"/>
      <c r="K3" s="41"/>
      <c r="L3" s="56"/>
      <c r="M3" s="56"/>
      <c r="N3" s="4"/>
      <c r="O3" s="5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63"/>
      <c r="AC3" s="63"/>
      <c r="AD3" s="66"/>
      <c r="AE3" s="1"/>
      <c r="AG3" s="1"/>
      <c r="AH3" s="1"/>
      <c r="AI3" s="1"/>
      <c r="AJ3" s="1"/>
      <c r="AK3" s="1"/>
      <c r="AL3" s="1"/>
      <c r="AM3" s="1"/>
      <c r="AN3" s="1"/>
    </row>
    <row r="4" spans="2:42" ht="25.5" customHeight="1" thickBot="1" x14ac:dyDescent="0.25">
      <c r="B4" s="11"/>
      <c r="C4" s="11"/>
      <c r="D4" s="11"/>
      <c r="E4" s="1"/>
      <c r="F4" s="1"/>
      <c r="G4" s="1"/>
      <c r="H4" s="1"/>
      <c r="I4" s="1"/>
      <c r="J4" s="41"/>
      <c r="K4" s="41"/>
      <c r="L4" s="56"/>
      <c r="M4" s="56"/>
      <c r="N4" s="12" t="s">
        <v>6</v>
      </c>
      <c r="O4" s="120">
        <v>42807</v>
      </c>
      <c r="P4" s="121"/>
      <c r="Q4" s="122"/>
      <c r="R4" s="6"/>
      <c r="S4" s="1"/>
      <c r="T4" s="1"/>
      <c r="U4" s="1"/>
      <c r="V4" s="1"/>
      <c r="W4" s="1"/>
      <c r="X4" s="1"/>
      <c r="Y4" s="1"/>
      <c r="Z4" s="1"/>
      <c r="AA4" s="1"/>
      <c r="AB4" s="63"/>
      <c r="AC4" s="63"/>
      <c r="AD4" s="66"/>
      <c r="AE4" s="1"/>
      <c r="AG4" s="1"/>
      <c r="AH4" s="1"/>
      <c r="AI4" s="1"/>
      <c r="AJ4" s="1"/>
      <c r="AK4" s="1"/>
      <c r="AL4" s="1"/>
      <c r="AM4" s="1"/>
      <c r="AN4" s="1"/>
    </row>
    <row r="5" spans="2:42" s="52" customFormat="1" ht="15.75" hidden="1" customHeight="1" x14ac:dyDescent="0.2">
      <c r="E5" s="53"/>
      <c r="F5" s="53"/>
      <c r="G5" s="53"/>
      <c r="H5" s="53"/>
      <c r="I5" s="53"/>
      <c r="J5" s="53"/>
      <c r="K5" s="53"/>
      <c r="L5" s="59"/>
      <c r="M5" s="59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67"/>
      <c r="AC5" s="67"/>
      <c r="AD5" s="66"/>
      <c r="AE5" s="53"/>
      <c r="AF5" s="53"/>
      <c r="AG5" s="53"/>
      <c r="AH5" s="53"/>
      <c r="AI5" s="53"/>
      <c r="AJ5" s="53"/>
      <c r="AK5" s="53"/>
      <c r="AL5" s="53"/>
      <c r="AM5" s="53"/>
      <c r="AN5" s="53"/>
      <c r="AP5" s="95"/>
    </row>
    <row r="6" spans="2:42" s="52" customFormat="1" ht="18" hidden="1" x14ac:dyDescent="0.2">
      <c r="E6" s="53"/>
      <c r="F6" s="53"/>
      <c r="G6" s="53"/>
      <c r="H6" s="53"/>
      <c r="I6" s="53"/>
      <c r="J6" s="53"/>
      <c r="K6" s="53"/>
      <c r="L6" s="59"/>
      <c r="M6" s="59"/>
      <c r="N6" s="54" t="s">
        <v>4</v>
      </c>
      <c r="O6" s="54" t="s">
        <v>133</v>
      </c>
      <c r="P6" s="78" t="s">
        <v>132</v>
      </c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67"/>
      <c r="AC6" s="67"/>
      <c r="AD6" s="66"/>
      <c r="AE6" s="53"/>
      <c r="AF6" s="53"/>
      <c r="AG6" s="53"/>
      <c r="AH6" s="53"/>
      <c r="AI6" s="53"/>
      <c r="AJ6" s="53"/>
      <c r="AK6" s="53"/>
      <c r="AL6" s="53"/>
      <c r="AM6" s="53"/>
      <c r="AN6" s="53"/>
      <c r="AP6" s="95"/>
    </row>
    <row r="7" spans="2:42" s="52" customFormat="1" ht="18" hidden="1" x14ac:dyDescent="0.2">
      <c r="E7" s="53"/>
      <c r="F7" s="53"/>
      <c r="G7" s="53"/>
      <c r="H7" s="53"/>
      <c r="I7" s="53"/>
      <c r="J7" s="53"/>
      <c r="K7" s="53"/>
      <c r="L7" s="59"/>
      <c r="M7" s="59"/>
      <c r="N7" s="55" t="s">
        <v>3</v>
      </c>
      <c r="O7" s="54" t="s">
        <v>134</v>
      </c>
      <c r="P7" s="78" t="s">
        <v>138</v>
      </c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67"/>
      <c r="AC7" s="67"/>
      <c r="AD7" s="66"/>
      <c r="AE7" s="53"/>
      <c r="AF7" s="53"/>
      <c r="AG7" s="53"/>
      <c r="AH7" s="53"/>
      <c r="AI7" s="53"/>
      <c r="AJ7" s="53"/>
      <c r="AK7" s="53"/>
      <c r="AL7" s="53"/>
      <c r="AM7" s="53"/>
      <c r="AN7" s="53"/>
      <c r="AP7" s="95"/>
    </row>
    <row r="8" spans="2:42" s="52" customFormat="1" ht="18" hidden="1" x14ac:dyDescent="0.25">
      <c r="E8" s="53"/>
      <c r="F8" s="53"/>
      <c r="G8" s="53"/>
      <c r="H8" s="53"/>
      <c r="I8" s="53"/>
      <c r="J8" s="53"/>
      <c r="K8" s="53"/>
      <c r="L8" s="59"/>
      <c r="M8" s="59"/>
      <c r="N8" s="55" t="s">
        <v>2</v>
      </c>
      <c r="O8" s="54" t="s">
        <v>135</v>
      </c>
      <c r="P8" s="79" t="s">
        <v>104</v>
      </c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67"/>
      <c r="AC8" s="67"/>
      <c r="AD8" s="66"/>
      <c r="AE8" s="53"/>
      <c r="AF8" s="53"/>
      <c r="AG8" s="53"/>
      <c r="AH8" s="53"/>
      <c r="AI8" s="53"/>
      <c r="AJ8" s="53"/>
      <c r="AK8" s="53"/>
      <c r="AL8" s="53"/>
      <c r="AM8" s="53"/>
      <c r="AN8" s="53"/>
      <c r="AP8" s="95"/>
    </row>
    <row r="9" spans="2:42" s="52" customFormat="1" ht="18" hidden="1" x14ac:dyDescent="0.2">
      <c r="E9" s="53"/>
      <c r="F9" s="53"/>
      <c r="G9" s="53"/>
      <c r="H9" s="53"/>
      <c r="I9" s="53"/>
      <c r="J9" s="53"/>
      <c r="K9" s="53"/>
      <c r="L9" s="59"/>
      <c r="M9" s="59"/>
      <c r="N9" s="55" t="s">
        <v>1</v>
      </c>
      <c r="O9" s="54" t="s">
        <v>136</v>
      </c>
      <c r="P9" s="78" t="s">
        <v>103</v>
      </c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67"/>
      <c r="AC9" s="67"/>
      <c r="AD9" s="66"/>
      <c r="AE9" s="53"/>
      <c r="AF9" s="53"/>
      <c r="AG9" s="53"/>
      <c r="AH9" s="53"/>
      <c r="AI9" s="53"/>
      <c r="AJ9" s="53"/>
      <c r="AK9" s="53"/>
      <c r="AL9" s="53"/>
      <c r="AM9" s="53"/>
      <c r="AN9" s="53"/>
      <c r="AP9" s="95"/>
    </row>
    <row r="10" spans="2:42" s="52" customFormat="1" ht="18" hidden="1" x14ac:dyDescent="0.2">
      <c r="E10" s="53"/>
      <c r="F10" s="53"/>
      <c r="G10" s="53"/>
      <c r="H10" s="53"/>
      <c r="I10" s="53"/>
      <c r="J10" s="53"/>
      <c r="K10" s="53"/>
      <c r="L10" s="59"/>
      <c r="M10" s="59"/>
      <c r="N10" s="55" t="s">
        <v>50</v>
      </c>
      <c r="O10" s="54" t="s">
        <v>137</v>
      </c>
      <c r="P10" s="78" t="s">
        <v>108</v>
      </c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67"/>
      <c r="AC10" s="67"/>
      <c r="AD10" s="66"/>
      <c r="AE10" s="53"/>
      <c r="AF10" s="53"/>
      <c r="AG10" s="53" t="s">
        <v>22</v>
      </c>
      <c r="AH10" s="53" t="s">
        <v>22</v>
      </c>
      <c r="AI10" s="53"/>
      <c r="AJ10" s="53"/>
      <c r="AK10" s="53"/>
      <c r="AL10" s="53"/>
      <c r="AM10" s="53"/>
      <c r="AN10" s="53"/>
      <c r="AP10" s="95"/>
    </row>
    <row r="11" spans="2:42" s="52" customFormat="1" ht="18" hidden="1" x14ac:dyDescent="0.2">
      <c r="E11" s="53"/>
      <c r="F11" s="53"/>
      <c r="G11" s="53"/>
      <c r="H11" s="53"/>
      <c r="I11" s="53"/>
      <c r="J11" s="53"/>
      <c r="K11" s="53"/>
      <c r="L11" s="59"/>
      <c r="M11" s="59"/>
      <c r="N11" s="55" t="s">
        <v>51</v>
      </c>
      <c r="O11" s="54"/>
      <c r="P11" s="78" t="s">
        <v>105</v>
      </c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67"/>
      <c r="AC11" s="67"/>
      <c r="AD11" s="66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P11" s="95"/>
    </row>
    <row r="12" spans="2:42" s="52" customFormat="1" ht="18" hidden="1" x14ac:dyDescent="0.2">
      <c r="E12" s="53"/>
      <c r="F12" s="53"/>
      <c r="G12" s="53"/>
      <c r="H12" s="53"/>
      <c r="I12" s="53"/>
      <c r="J12" s="53"/>
      <c r="K12" s="53"/>
      <c r="L12" s="59"/>
      <c r="M12" s="59"/>
      <c r="N12" s="55" t="s">
        <v>49</v>
      </c>
      <c r="O12" s="54"/>
      <c r="P12" s="78" t="s">
        <v>159</v>
      </c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67"/>
      <c r="AC12" s="67"/>
      <c r="AD12" s="66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P12" s="95"/>
    </row>
    <row r="13" spans="2:42" s="52" customFormat="1" hidden="1" x14ac:dyDescent="0.2">
      <c r="E13" s="59"/>
      <c r="F13" s="59"/>
      <c r="G13" s="59"/>
      <c r="H13" s="59"/>
      <c r="I13" s="59"/>
      <c r="J13" s="59"/>
      <c r="K13" s="59"/>
      <c r="L13" s="59"/>
      <c r="M13" s="59"/>
      <c r="N13" s="55"/>
      <c r="O13" s="54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67"/>
      <c r="AC13" s="67"/>
      <c r="AD13" s="66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P13" s="95"/>
    </row>
    <row r="14" spans="2:42" s="52" customFormat="1" hidden="1" x14ac:dyDescent="0.2">
      <c r="E14" s="59"/>
      <c r="F14" s="59"/>
      <c r="G14" s="59"/>
      <c r="H14" s="59"/>
      <c r="I14" s="59"/>
      <c r="J14" s="59"/>
      <c r="K14" s="59"/>
      <c r="L14" s="59"/>
      <c r="M14" s="59"/>
      <c r="N14" s="55"/>
      <c r="O14" s="54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67"/>
      <c r="AC14" s="67"/>
      <c r="AD14" s="66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P14" s="95"/>
    </row>
    <row r="15" spans="2:42" ht="15.75" customHeight="1" thickBot="1" x14ac:dyDescent="0.25">
      <c r="E15" s="1"/>
      <c r="G15" s="1"/>
      <c r="H15" s="1"/>
      <c r="I15" s="1"/>
      <c r="J15" s="1"/>
      <c r="K15" s="1"/>
      <c r="L15" s="56"/>
      <c r="M15" s="56"/>
      <c r="N15" s="16"/>
      <c r="O15" s="15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63"/>
      <c r="AC15" s="63"/>
      <c r="AD15" s="66"/>
      <c r="AE15" s="1"/>
      <c r="AG15" s="1"/>
      <c r="AH15" s="1"/>
      <c r="AI15" s="1"/>
      <c r="AJ15" s="1"/>
      <c r="AK15" s="1"/>
      <c r="AL15" s="1"/>
      <c r="AM15" s="1"/>
      <c r="AN15" s="1"/>
    </row>
    <row r="16" spans="2:42" ht="25.5" thickBot="1" x14ac:dyDescent="0.25">
      <c r="B16" s="126"/>
      <c r="C16" s="126"/>
      <c r="D16" s="126"/>
      <c r="E16" s="126"/>
      <c r="F16" s="126"/>
      <c r="G16" s="126"/>
      <c r="H16" s="126"/>
      <c r="I16" s="126"/>
      <c r="J16" s="41"/>
      <c r="K16" s="41"/>
      <c r="L16" s="56"/>
      <c r="M16" s="56"/>
      <c r="N16" s="87" t="s">
        <v>25</v>
      </c>
      <c r="O16" s="88">
        <f>IF(4="","",O4)</f>
        <v>42807</v>
      </c>
      <c r="P16" s="82"/>
      <c r="Q16" s="41"/>
      <c r="R16" s="90" t="s">
        <v>89</v>
      </c>
      <c r="S16" s="91" t="s">
        <v>236</v>
      </c>
      <c r="T16" s="1"/>
      <c r="U16" s="1"/>
      <c r="V16" s="1"/>
      <c r="W16" s="1"/>
      <c r="X16" s="1"/>
      <c r="Y16" s="1"/>
      <c r="Z16" s="1"/>
      <c r="AA16" s="1"/>
      <c r="AB16" s="63"/>
      <c r="AC16" s="63"/>
      <c r="AD16" s="66"/>
      <c r="AE16" s="1"/>
      <c r="AG16" s="1"/>
      <c r="AH16" s="1"/>
      <c r="AI16" s="1"/>
      <c r="AJ16" s="8"/>
      <c r="AK16" s="8"/>
      <c r="AL16" s="8"/>
      <c r="AM16" s="8"/>
      <c r="AN16" s="8"/>
    </row>
    <row r="17" spans="1:45" ht="25.5" customHeight="1" thickBot="1" x14ac:dyDescent="0.25">
      <c r="B17" s="3"/>
      <c r="C17" s="3"/>
      <c r="D17" s="3"/>
      <c r="E17" s="1"/>
      <c r="F17" s="1"/>
      <c r="G17" s="1"/>
      <c r="H17" s="1"/>
      <c r="I17" s="1"/>
      <c r="J17" s="41"/>
      <c r="K17" s="41"/>
      <c r="L17" s="56"/>
      <c r="M17" s="56"/>
      <c r="N17" s="87" t="s">
        <v>26</v>
      </c>
      <c r="O17" s="89" t="s">
        <v>133</v>
      </c>
      <c r="P17" s="83" t="str">
        <f>IF(O17="","",IF(O17="MAÑANA ","TURNO ENTRE LAS 07:00 HRS HASTA LAS 15:00 HRS.",IF(O17="TARDE ","TURNO ENTRE LAS 15:00 HRS HASTA LAS 23:00 HRS",IF(O17="NOCHE ","TURNO ENTRE LAS 23:00 HRS HASTA LAS 07:00 HRS.",IF(O17="MAÑANA-TARDE ","TURNO ENTRE LAS 07:00 HRS HASTA LAS 19:00 HRS",IF(O17="TARDE-NOCHE ","TURNO ENTRA LAS 19:00 HRS HASTA LAS 07:00 HRS"))))))</f>
        <v>TURNO ENTRE LAS 23:00 HRS HASTA LAS 07:00 HRS.</v>
      </c>
      <c r="Q17" s="8"/>
      <c r="R17" s="86"/>
      <c r="S17" s="1"/>
      <c r="T17" s="1"/>
      <c r="U17" s="1"/>
      <c r="V17" s="1"/>
      <c r="W17" s="1"/>
      <c r="X17" s="1"/>
      <c r="Y17" s="1"/>
      <c r="Z17" s="1"/>
      <c r="AA17" s="1"/>
      <c r="AB17" s="63"/>
      <c r="AC17" s="63"/>
      <c r="AD17" s="66"/>
      <c r="AE17" s="1"/>
      <c r="AG17" s="1"/>
      <c r="AH17" s="1"/>
      <c r="AI17" s="1"/>
      <c r="AJ17" s="8"/>
      <c r="AK17" s="8"/>
      <c r="AL17" s="8"/>
      <c r="AM17" s="8"/>
      <c r="AN17" s="8"/>
    </row>
    <row r="18" spans="1:45" ht="25.5" customHeight="1" thickBot="1" x14ac:dyDescent="0.25">
      <c r="B18" s="3"/>
      <c r="C18" s="3"/>
      <c r="D18" s="3"/>
      <c r="E18" s="1"/>
      <c r="F18" s="1"/>
      <c r="G18" s="1"/>
      <c r="H18" s="1"/>
      <c r="I18" s="1"/>
      <c r="J18" s="41"/>
      <c r="K18" s="41"/>
      <c r="L18" s="56"/>
      <c r="M18" s="56"/>
      <c r="N18" s="84"/>
      <c r="O18" s="85"/>
      <c r="P18" s="8"/>
      <c r="Q18" s="8"/>
      <c r="R18" s="90" t="s">
        <v>90</v>
      </c>
      <c r="S18" s="91"/>
      <c r="T18" s="1"/>
      <c r="U18" s="1"/>
      <c r="V18" s="1"/>
      <c r="W18" s="1"/>
      <c r="X18" s="1"/>
      <c r="Y18" s="1"/>
      <c r="Z18" s="1"/>
      <c r="AA18" s="1"/>
      <c r="AB18" s="63"/>
      <c r="AC18" s="63"/>
      <c r="AD18" s="66"/>
      <c r="AE18" s="1"/>
      <c r="AG18" s="1"/>
      <c r="AH18" s="1"/>
      <c r="AI18" s="1"/>
      <c r="AJ18" s="8"/>
      <c r="AK18" s="8"/>
      <c r="AL18" s="8"/>
      <c r="AM18" s="8"/>
      <c r="AN18" s="8"/>
    </row>
    <row r="19" spans="1:45" x14ac:dyDescent="0.2">
      <c r="B19" s="3"/>
      <c r="C19" s="3"/>
      <c r="D19" s="3"/>
      <c r="E19" s="119" t="s">
        <v>17</v>
      </c>
      <c r="F19" s="119"/>
      <c r="G19" s="119"/>
      <c r="H19" s="119"/>
      <c r="I19" s="119"/>
      <c r="J19" s="119"/>
      <c r="K19" s="119"/>
      <c r="L19" s="57"/>
      <c r="M19" s="57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64"/>
      <c r="AC19" s="64"/>
      <c r="AD19" s="71"/>
      <c r="AE19" s="2"/>
      <c r="AF19" s="2"/>
      <c r="AG19" s="2"/>
      <c r="AH19" s="2"/>
      <c r="AI19" s="2"/>
      <c r="AJ19" s="2"/>
      <c r="AK19" s="2"/>
      <c r="AL19" s="2"/>
      <c r="AM19" s="2"/>
      <c r="AN19" s="2"/>
    </row>
    <row r="20" spans="1:45" s="47" customFormat="1" ht="54" customHeight="1" thickBot="1" x14ac:dyDescent="0.25">
      <c r="A20" s="35" t="s">
        <v>48</v>
      </c>
      <c r="B20" s="35" t="s">
        <v>5</v>
      </c>
      <c r="C20" s="35" t="s">
        <v>126</v>
      </c>
      <c r="D20" s="35" t="s">
        <v>125</v>
      </c>
      <c r="E20" s="35" t="s">
        <v>10</v>
      </c>
      <c r="F20" s="35" t="s">
        <v>11</v>
      </c>
      <c r="G20" s="35" t="s">
        <v>12</v>
      </c>
      <c r="H20" s="35" t="s">
        <v>13</v>
      </c>
      <c r="I20" s="35" t="s">
        <v>14</v>
      </c>
      <c r="J20" s="35" t="s">
        <v>15</v>
      </c>
      <c r="K20" s="35" t="s">
        <v>16</v>
      </c>
      <c r="L20" s="58"/>
      <c r="M20" s="58" t="s">
        <v>91</v>
      </c>
      <c r="N20" s="35" t="s">
        <v>58</v>
      </c>
      <c r="O20" s="35" t="s">
        <v>7</v>
      </c>
      <c r="P20" s="35" t="s">
        <v>18</v>
      </c>
      <c r="Q20" s="35" t="s">
        <v>8</v>
      </c>
      <c r="R20" s="35" t="s">
        <v>37</v>
      </c>
      <c r="S20" s="35" t="s">
        <v>9</v>
      </c>
      <c r="T20" s="51" t="s">
        <v>19</v>
      </c>
      <c r="U20" s="51" t="s">
        <v>20</v>
      </c>
      <c r="V20" s="51" t="s">
        <v>29</v>
      </c>
      <c r="W20" s="31" t="s">
        <v>33</v>
      </c>
      <c r="X20" s="31" t="s">
        <v>56</v>
      </c>
      <c r="Y20" s="32" t="s">
        <v>57</v>
      </c>
      <c r="Z20" s="31" t="s">
        <v>32</v>
      </c>
      <c r="AA20" s="35" t="s">
        <v>24</v>
      </c>
      <c r="AB20" s="69" t="s">
        <v>19</v>
      </c>
      <c r="AC20" s="69" t="s">
        <v>20</v>
      </c>
      <c r="AD20" s="69" t="s">
        <v>92</v>
      </c>
      <c r="AE20" s="35" t="s">
        <v>23</v>
      </c>
      <c r="AF20" s="35" t="s">
        <v>121</v>
      </c>
      <c r="AG20" s="33" t="s">
        <v>53</v>
      </c>
      <c r="AH20" s="34" t="s">
        <v>54</v>
      </c>
      <c r="AI20" s="31" t="s">
        <v>64</v>
      </c>
      <c r="AJ20" s="31" t="s">
        <v>61</v>
      </c>
      <c r="AK20" s="31" t="s">
        <v>34</v>
      </c>
      <c r="AL20" s="31" t="s">
        <v>35</v>
      </c>
      <c r="AM20" s="31" t="s">
        <v>36</v>
      </c>
      <c r="AN20" s="31" t="s">
        <v>21</v>
      </c>
      <c r="AO20" s="31" t="s">
        <v>59</v>
      </c>
      <c r="AP20" s="45" t="s">
        <v>67</v>
      </c>
      <c r="AQ20" s="13" t="s">
        <v>93</v>
      </c>
      <c r="AR20" s="46" t="s">
        <v>112</v>
      </c>
      <c r="AS20" s="81" t="s">
        <v>113</v>
      </c>
    </row>
    <row r="21" spans="1:45" s="30" customFormat="1" ht="78.75" thickBot="1" x14ac:dyDescent="0.25">
      <c r="A21" s="38">
        <v>1</v>
      </c>
      <c r="B21" s="36" t="s">
        <v>42</v>
      </c>
      <c r="C21" s="43" t="s">
        <v>27</v>
      </c>
      <c r="D21" s="43"/>
      <c r="E21" s="17" t="s">
        <v>27</v>
      </c>
      <c r="F21" s="17" t="s">
        <v>27</v>
      </c>
      <c r="G21" s="17" t="s">
        <v>27</v>
      </c>
      <c r="H21" s="17" t="s">
        <v>27</v>
      </c>
      <c r="I21" s="17" t="s">
        <v>27</v>
      </c>
      <c r="J21" s="17" t="s">
        <v>27</v>
      </c>
      <c r="K21" s="17" t="s">
        <v>27</v>
      </c>
      <c r="L21" s="62">
        <f t="shared" ref="L21:L66" si="0">COUNTA(E21:K21)</f>
        <v>7</v>
      </c>
      <c r="M21" s="62" t="s">
        <v>239</v>
      </c>
      <c r="N21" s="38" t="s">
        <v>153</v>
      </c>
      <c r="O21" s="106">
        <v>0.3125</v>
      </c>
      <c r="P21" s="61" t="s">
        <v>63</v>
      </c>
      <c r="Q21" s="61" t="s">
        <v>66</v>
      </c>
      <c r="R21" s="61" t="s">
        <v>69</v>
      </c>
      <c r="S21" s="101" t="s">
        <v>178</v>
      </c>
      <c r="T21" s="30" t="s">
        <v>238</v>
      </c>
      <c r="U21" s="107"/>
      <c r="V21" s="75"/>
      <c r="W21" s="108"/>
      <c r="X21" s="109"/>
      <c r="Y21" s="19"/>
      <c r="Z21" s="20"/>
      <c r="AA21" s="25" t="str">
        <f t="shared" ref="AA21:AA91" si="1">IF($S$16="", "",MID($S$16,FIND("-",$S$16)+2,3))</f>
        <v xml:space="preserve">GC </v>
      </c>
      <c r="AB21" s="72">
        <v>0.33333333333333331</v>
      </c>
      <c r="AC21" s="73">
        <v>0.33611111111111108</v>
      </c>
      <c r="AD21" s="68">
        <v>2.7777777777777679E-3</v>
      </c>
      <c r="AE21" s="100"/>
      <c r="AF21" s="50" t="s">
        <v>0</v>
      </c>
      <c r="AG21" s="21"/>
      <c r="AH21" s="22"/>
      <c r="AI21" s="23"/>
      <c r="AJ21" s="24"/>
      <c r="AK21" s="25"/>
      <c r="AL21" s="26"/>
      <c r="AM21" s="27"/>
      <c r="AN21" s="28"/>
      <c r="AO21" s="29"/>
      <c r="AP21" s="94" t="s">
        <v>155</v>
      </c>
      <c r="AQ21" s="40"/>
      <c r="AR21" s="18" t="s">
        <v>130</v>
      </c>
      <c r="AS21" s="18"/>
    </row>
    <row r="22" spans="1:45" s="30" customFormat="1" ht="78.75" customHeight="1" thickBot="1" x14ac:dyDescent="0.25">
      <c r="A22" s="38">
        <v>2</v>
      </c>
      <c r="B22" s="36" t="s">
        <v>42</v>
      </c>
      <c r="C22" s="43" t="s">
        <v>27</v>
      </c>
      <c r="D22" s="43"/>
      <c r="E22" s="17"/>
      <c r="F22" s="17"/>
      <c r="G22" s="17"/>
      <c r="H22" s="17"/>
      <c r="I22" s="17"/>
      <c r="J22" s="17" t="s">
        <v>27</v>
      </c>
      <c r="K22" s="17"/>
      <c r="L22" s="62">
        <f t="shared" si="0"/>
        <v>1</v>
      </c>
      <c r="M22" s="62" t="s">
        <v>239</v>
      </c>
      <c r="N22" s="38" t="s">
        <v>153</v>
      </c>
      <c r="O22" s="106">
        <v>0.33333333333333331</v>
      </c>
      <c r="P22" s="61" t="s">
        <v>115</v>
      </c>
      <c r="Q22" s="61" t="s">
        <v>66</v>
      </c>
      <c r="R22" s="61" t="s">
        <v>116</v>
      </c>
      <c r="S22" s="101" t="s">
        <v>162</v>
      </c>
      <c r="T22" s="118" t="s">
        <v>237</v>
      </c>
      <c r="U22" s="106"/>
      <c r="V22" s="75"/>
      <c r="W22" s="108"/>
      <c r="X22" s="109"/>
      <c r="Y22" s="19"/>
      <c r="Z22" s="20"/>
      <c r="AA22" s="25" t="str">
        <f t="shared" si="1"/>
        <v xml:space="preserve">GC </v>
      </c>
      <c r="AB22" s="72"/>
      <c r="AC22" s="73"/>
      <c r="AD22" s="68"/>
      <c r="AE22" s="49"/>
      <c r="AF22" s="50" t="s">
        <v>0</v>
      </c>
      <c r="AG22" s="21"/>
      <c r="AH22" s="22"/>
      <c r="AI22" s="23"/>
      <c r="AJ22" s="24"/>
      <c r="AK22" s="25"/>
      <c r="AL22" s="26"/>
      <c r="AM22" s="27"/>
      <c r="AN22" s="28"/>
      <c r="AO22" s="29"/>
      <c r="AP22" s="94" t="s">
        <v>158</v>
      </c>
      <c r="AQ22" s="40"/>
      <c r="AR22" s="18" t="s">
        <v>130</v>
      </c>
      <c r="AS22" s="18" t="s">
        <v>114</v>
      </c>
    </row>
    <row r="23" spans="1:45" s="30" customFormat="1" ht="78.75" customHeight="1" thickBot="1" x14ac:dyDescent="0.25">
      <c r="A23" s="38">
        <v>3</v>
      </c>
      <c r="B23" s="36" t="s">
        <v>42</v>
      </c>
      <c r="C23" s="43" t="s">
        <v>27</v>
      </c>
      <c r="D23" s="43"/>
      <c r="E23" s="17"/>
      <c r="F23" s="17"/>
      <c r="G23" s="17"/>
      <c r="H23" s="17"/>
      <c r="I23" s="17"/>
      <c r="J23" s="17"/>
      <c r="K23" s="17" t="s">
        <v>27</v>
      </c>
      <c r="L23" s="62">
        <f t="shared" si="0"/>
        <v>1</v>
      </c>
      <c r="M23" s="62" t="s">
        <v>239</v>
      </c>
      <c r="N23" s="38" t="s">
        <v>153</v>
      </c>
      <c r="O23" s="106">
        <v>0.33333333333333331</v>
      </c>
      <c r="P23" s="61" t="s">
        <v>115</v>
      </c>
      <c r="Q23" s="61" t="s">
        <v>66</v>
      </c>
      <c r="R23" s="61" t="s">
        <v>116</v>
      </c>
      <c r="S23" s="101" t="s">
        <v>163</v>
      </c>
      <c r="T23" s="118" t="s">
        <v>237</v>
      </c>
      <c r="U23" s="106"/>
      <c r="V23" s="75"/>
      <c r="W23" s="108"/>
      <c r="X23" s="109"/>
      <c r="Y23" s="19"/>
      <c r="Z23" s="20"/>
      <c r="AA23" s="25" t="str">
        <f t="shared" si="1"/>
        <v xml:space="preserve">GC </v>
      </c>
      <c r="AB23" s="72"/>
      <c r="AC23" s="73"/>
      <c r="AD23" s="68"/>
      <c r="AE23" s="49"/>
      <c r="AF23" s="50" t="s">
        <v>0</v>
      </c>
      <c r="AG23" s="21" t="s">
        <v>31</v>
      </c>
      <c r="AH23" s="22" t="s">
        <v>154</v>
      </c>
      <c r="AI23" s="23" t="s">
        <v>65</v>
      </c>
      <c r="AJ23" s="24">
        <v>1</v>
      </c>
      <c r="AK23" s="25"/>
      <c r="AL23" s="26"/>
      <c r="AM23" s="27"/>
      <c r="AN23" s="28"/>
      <c r="AO23" s="29"/>
      <c r="AP23" s="94" t="s">
        <v>28</v>
      </c>
      <c r="AQ23" s="40"/>
      <c r="AR23" s="18" t="s">
        <v>129</v>
      </c>
      <c r="AS23" s="18" t="s">
        <v>114</v>
      </c>
    </row>
    <row r="24" spans="1:45" s="30" customFormat="1" ht="78.75" customHeight="1" thickBot="1" x14ac:dyDescent="0.25">
      <c r="A24" s="38">
        <v>4</v>
      </c>
      <c r="B24" s="36" t="s">
        <v>42</v>
      </c>
      <c r="C24" s="43" t="s">
        <v>27</v>
      </c>
      <c r="D24" s="43"/>
      <c r="E24" s="17"/>
      <c r="F24" s="17"/>
      <c r="G24" s="17"/>
      <c r="H24" s="17"/>
      <c r="I24" s="17"/>
      <c r="J24" s="17"/>
      <c r="K24" s="17" t="s">
        <v>27</v>
      </c>
      <c r="L24" s="62">
        <f t="shared" si="0"/>
        <v>1</v>
      </c>
      <c r="M24" s="62" t="s">
        <v>239</v>
      </c>
      <c r="N24" s="38" t="s">
        <v>153</v>
      </c>
      <c r="O24" s="106">
        <v>0.33333333333333331</v>
      </c>
      <c r="P24" s="61" t="s">
        <v>115</v>
      </c>
      <c r="Q24" s="61" t="s">
        <v>66</v>
      </c>
      <c r="R24" s="61" t="s">
        <v>116</v>
      </c>
      <c r="S24" s="101" t="s">
        <v>139</v>
      </c>
      <c r="T24" s="118" t="s">
        <v>237</v>
      </c>
      <c r="U24" s="106"/>
      <c r="V24" s="75"/>
      <c r="W24" s="108"/>
      <c r="X24" s="109"/>
      <c r="Y24" s="19"/>
      <c r="Z24" s="20"/>
      <c r="AA24" s="25" t="str">
        <f t="shared" si="1"/>
        <v xml:space="preserve">GC </v>
      </c>
      <c r="AB24" s="72"/>
      <c r="AC24" s="73"/>
      <c r="AD24" s="68"/>
      <c r="AE24" s="49"/>
      <c r="AF24" s="50" t="s">
        <v>123</v>
      </c>
      <c r="AG24" s="21"/>
      <c r="AH24" s="22"/>
      <c r="AI24" s="23"/>
      <c r="AJ24" s="24"/>
      <c r="AK24" s="25"/>
      <c r="AL24" s="25"/>
      <c r="AM24" s="27"/>
      <c r="AN24" s="28"/>
      <c r="AO24" s="29"/>
      <c r="AP24" s="94" t="s">
        <v>156</v>
      </c>
      <c r="AQ24" s="40"/>
      <c r="AR24" s="18" t="s">
        <v>111</v>
      </c>
      <c r="AS24" s="18" t="s">
        <v>114</v>
      </c>
    </row>
    <row r="25" spans="1:45" s="30" customFormat="1" ht="78.75" customHeight="1" thickBot="1" x14ac:dyDescent="0.25">
      <c r="A25" s="38">
        <v>5</v>
      </c>
      <c r="B25" s="36" t="s">
        <v>42</v>
      </c>
      <c r="C25" s="43" t="s">
        <v>27</v>
      </c>
      <c r="D25" s="43"/>
      <c r="E25" s="17" t="s">
        <v>27</v>
      </c>
      <c r="F25" s="17" t="s">
        <v>27</v>
      </c>
      <c r="G25" s="17" t="s">
        <v>27</v>
      </c>
      <c r="H25" s="17" t="s">
        <v>27</v>
      </c>
      <c r="I25" s="17" t="s">
        <v>27</v>
      </c>
      <c r="J25" s="17" t="s">
        <v>27</v>
      </c>
      <c r="K25" s="77" t="s">
        <v>27</v>
      </c>
      <c r="L25" s="62">
        <f t="shared" si="0"/>
        <v>7</v>
      </c>
      <c r="M25" s="62" t="s">
        <v>239</v>
      </c>
      <c r="N25" s="38" t="s">
        <v>152</v>
      </c>
      <c r="O25" s="106">
        <v>0.34375</v>
      </c>
      <c r="P25" s="61" t="s">
        <v>63</v>
      </c>
      <c r="Q25" s="61" t="s">
        <v>66</v>
      </c>
      <c r="R25" s="61" t="s">
        <v>62</v>
      </c>
      <c r="S25" s="101" t="s">
        <v>179</v>
      </c>
      <c r="T25" s="30" t="s">
        <v>238</v>
      </c>
      <c r="U25" s="106"/>
      <c r="V25" s="75"/>
      <c r="W25" s="108"/>
      <c r="X25" s="109"/>
      <c r="Y25" s="19"/>
      <c r="Z25" s="20"/>
      <c r="AA25" s="25" t="str">
        <f t="shared" si="1"/>
        <v xml:space="preserve">GC </v>
      </c>
      <c r="AB25" s="72">
        <v>0.33333333333333331</v>
      </c>
      <c r="AC25" s="73">
        <v>0.33611111111111108</v>
      </c>
      <c r="AD25" s="68">
        <v>2.7777777777777679E-3</v>
      </c>
      <c r="AE25" s="49"/>
      <c r="AF25" s="50" t="s">
        <v>0</v>
      </c>
      <c r="AG25" s="21"/>
      <c r="AH25" s="22"/>
      <c r="AI25" s="23"/>
      <c r="AJ25" s="24"/>
      <c r="AK25" s="25"/>
      <c r="AL25" s="26"/>
      <c r="AM25" s="27"/>
      <c r="AN25" s="28"/>
      <c r="AO25" s="29"/>
      <c r="AP25" s="94" t="s">
        <v>28</v>
      </c>
      <c r="AQ25" s="29"/>
      <c r="AR25" s="18" t="s">
        <v>129</v>
      </c>
      <c r="AS25" s="18" t="s">
        <v>114</v>
      </c>
    </row>
    <row r="26" spans="1:45" s="30" customFormat="1" ht="78.75" customHeight="1" thickBot="1" x14ac:dyDescent="0.25">
      <c r="A26" s="38">
        <v>6</v>
      </c>
      <c r="B26" s="36" t="s">
        <v>42</v>
      </c>
      <c r="C26" s="43" t="s">
        <v>27</v>
      </c>
      <c r="D26" s="43"/>
      <c r="E26" s="17"/>
      <c r="F26" s="17"/>
      <c r="G26" s="17"/>
      <c r="H26" s="17"/>
      <c r="I26" s="17"/>
      <c r="J26" s="17" t="s">
        <v>27</v>
      </c>
      <c r="K26" s="17"/>
      <c r="L26" s="62">
        <f t="shared" si="0"/>
        <v>1</v>
      </c>
      <c r="M26" s="62" t="s">
        <v>239</v>
      </c>
      <c r="N26" s="38" t="s">
        <v>153</v>
      </c>
      <c r="O26" s="106">
        <v>0.375</v>
      </c>
      <c r="P26" s="92" t="s">
        <v>39</v>
      </c>
      <c r="Q26" s="61" t="s">
        <v>66</v>
      </c>
      <c r="R26" s="61" t="s">
        <v>117</v>
      </c>
      <c r="S26" s="102" t="s">
        <v>140</v>
      </c>
      <c r="T26" s="118" t="s">
        <v>237</v>
      </c>
      <c r="U26" s="106"/>
      <c r="V26" s="75"/>
      <c r="W26" s="108"/>
      <c r="X26" s="109"/>
      <c r="Y26" s="19"/>
      <c r="Z26" s="20"/>
      <c r="AA26" s="25" t="str">
        <f t="shared" si="1"/>
        <v xml:space="preserve">GC </v>
      </c>
      <c r="AB26" s="72">
        <v>0.41319444444444442</v>
      </c>
      <c r="AC26" s="73">
        <v>0.4201388888888889</v>
      </c>
      <c r="AD26" s="68">
        <v>6.9444444444444753E-3</v>
      </c>
      <c r="AE26" s="49"/>
      <c r="AF26" s="50" t="s">
        <v>120</v>
      </c>
      <c r="AG26" s="21"/>
      <c r="AH26" s="22"/>
      <c r="AI26" s="23"/>
      <c r="AJ26" s="24"/>
      <c r="AK26" s="25"/>
      <c r="AL26" s="26"/>
      <c r="AM26" s="27"/>
      <c r="AN26" s="28"/>
      <c r="AO26" s="29"/>
      <c r="AP26" s="94" t="s">
        <v>161</v>
      </c>
      <c r="AQ26" s="40"/>
      <c r="AR26" s="18"/>
      <c r="AS26" s="18"/>
    </row>
    <row r="27" spans="1:45" s="30" customFormat="1" ht="78.75" customHeight="1" thickBot="1" x14ac:dyDescent="0.25">
      <c r="A27" s="38">
        <v>7</v>
      </c>
      <c r="B27" s="36" t="s">
        <v>42</v>
      </c>
      <c r="C27" s="43" t="s">
        <v>27</v>
      </c>
      <c r="D27" s="43"/>
      <c r="E27" s="17"/>
      <c r="F27" s="17"/>
      <c r="G27" s="17"/>
      <c r="H27" s="17"/>
      <c r="I27" s="17"/>
      <c r="J27" s="17"/>
      <c r="K27" s="17" t="s">
        <v>27</v>
      </c>
      <c r="L27" s="62">
        <f t="shared" ref="L27" si="2">COUNTA(E27:K27)</f>
        <v>1</v>
      </c>
      <c r="M27" s="62" t="s">
        <v>239</v>
      </c>
      <c r="N27" s="38" t="s">
        <v>153</v>
      </c>
      <c r="O27" s="106">
        <v>0.375</v>
      </c>
      <c r="P27" s="92" t="s">
        <v>39</v>
      </c>
      <c r="Q27" s="61" t="s">
        <v>66</v>
      </c>
      <c r="R27" s="61" t="s">
        <v>87</v>
      </c>
      <c r="S27" s="105" t="s">
        <v>131</v>
      </c>
      <c r="T27" s="118" t="s">
        <v>237</v>
      </c>
      <c r="U27" s="106"/>
      <c r="V27" s="75"/>
      <c r="W27" s="108"/>
      <c r="X27" s="109"/>
      <c r="Y27" s="19"/>
      <c r="Z27" s="20"/>
      <c r="AA27" s="25" t="str">
        <f t="shared" si="1"/>
        <v xml:space="preserve">GC </v>
      </c>
      <c r="AB27" s="72">
        <v>0.41319444444444442</v>
      </c>
      <c r="AC27" s="73">
        <v>0.4201388888888889</v>
      </c>
      <c r="AD27" s="68">
        <v>6.9444444444444753E-3</v>
      </c>
      <c r="AE27" s="49"/>
      <c r="AF27" s="50" t="s">
        <v>0</v>
      </c>
      <c r="AG27" s="21"/>
      <c r="AH27" s="22"/>
      <c r="AI27" s="23"/>
      <c r="AJ27" s="24"/>
      <c r="AK27" s="25"/>
      <c r="AL27" s="25"/>
      <c r="AM27" s="27"/>
      <c r="AN27" s="28"/>
      <c r="AO27" s="29"/>
      <c r="AP27" s="94" t="s">
        <v>155</v>
      </c>
      <c r="AQ27" s="29"/>
      <c r="AR27" s="18" t="s">
        <v>110</v>
      </c>
      <c r="AS27" s="18"/>
    </row>
    <row r="28" spans="1:45" s="30" customFormat="1" ht="78.75" customHeight="1" thickBot="1" x14ac:dyDescent="0.25">
      <c r="A28" s="38">
        <v>8</v>
      </c>
      <c r="B28" s="36" t="s">
        <v>42</v>
      </c>
      <c r="C28" s="43" t="s">
        <v>27</v>
      </c>
      <c r="D28" s="43"/>
      <c r="E28" s="77" t="s">
        <v>27</v>
      </c>
      <c r="F28" s="77" t="s">
        <v>27</v>
      </c>
      <c r="G28" s="77" t="s">
        <v>27</v>
      </c>
      <c r="H28" s="77" t="s">
        <v>27</v>
      </c>
      <c r="I28" s="77" t="s">
        <v>27</v>
      </c>
      <c r="J28" s="17" t="s">
        <v>27</v>
      </c>
      <c r="K28" s="77" t="s">
        <v>27</v>
      </c>
      <c r="L28" s="62">
        <f t="shared" si="0"/>
        <v>7</v>
      </c>
      <c r="M28" s="62" t="s">
        <v>239</v>
      </c>
      <c r="N28" s="38" t="s">
        <v>153</v>
      </c>
      <c r="O28" s="106">
        <v>0.37847222222222227</v>
      </c>
      <c r="P28" s="61" t="s">
        <v>77</v>
      </c>
      <c r="Q28" s="61" t="s">
        <v>66</v>
      </c>
      <c r="R28" s="61" t="s">
        <v>128</v>
      </c>
      <c r="S28" s="101" t="s">
        <v>206</v>
      </c>
      <c r="T28" s="30" t="s">
        <v>238</v>
      </c>
      <c r="U28" s="106"/>
      <c r="V28" s="75"/>
      <c r="W28" s="108"/>
      <c r="X28" s="109"/>
      <c r="Y28" s="19"/>
      <c r="Z28" s="20"/>
      <c r="AA28" s="25" t="str">
        <f t="shared" si="1"/>
        <v xml:space="preserve">GC </v>
      </c>
      <c r="AB28" s="72"/>
      <c r="AC28" s="73"/>
      <c r="AD28" s="68"/>
      <c r="AE28" s="49"/>
      <c r="AF28" s="50" t="s">
        <v>0</v>
      </c>
      <c r="AG28" s="21"/>
      <c r="AH28" s="22"/>
      <c r="AI28" s="23"/>
      <c r="AJ28" s="24"/>
      <c r="AK28" s="25"/>
      <c r="AL28" s="26"/>
      <c r="AM28" s="27"/>
      <c r="AN28" s="28"/>
      <c r="AO28" s="29"/>
      <c r="AP28" s="94" t="s">
        <v>158</v>
      </c>
      <c r="AQ28" s="29"/>
      <c r="AR28" s="18" t="s">
        <v>130</v>
      </c>
      <c r="AS28" s="18" t="s">
        <v>114</v>
      </c>
    </row>
    <row r="29" spans="1:45" s="30" customFormat="1" ht="78.75" customHeight="1" thickBot="1" x14ac:dyDescent="0.25">
      <c r="A29" s="38">
        <v>9</v>
      </c>
      <c r="B29" s="36" t="s">
        <v>42</v>
      </c>
      <c r="C29" s="43" t="s">
        <v>27</v>
      </c>
      <c r="D29" s="43"/>
      <c r="E29" s="17"/>
      <c r="F29" s="17"/>
      <c r="G29" s="17"/>
      <c r="H29" s="17"/>
      <c r="I29" s="17"/>
      <c r="J29" s="17" t="s">
        <v>27</v>
      </c>
      <c r="K29" s="17"/>
      <c r="L29" s="62">
        <f t="shared" si="0"/>
        <v>1</v>
      </c>
      <c r="M29" s="62" t="s">
        <v>239</v>
      </c>
      <c r="N29" s="38" t="s">
        <v>153</v>
      </c>
      <c r="O29" s="106">
        <v>0.38194444444444442</v>
      </c>
      <c r="P29" s="92" t="s">
        <v>39</v>
      </c>
      <c r="Q29" s="61" t="s">
        <v>66</v>
      </c>
      <c r="R29" s="61" t="s">
        <v>87</v>
      </c>
      <c r="S29" s="105" t="s">
        <v>118</v>
      </c>
      <c r="T29" s="118" t="s">
        <v>237</v>
      </c>
      <c r="U29" s="106"/>
      <c r="V29" s="75"/>
      <c r="W29" s="108"/>
      <c r="X29" s="109"/>
      <c r="Y29" s="19"/>
      <c r="Z29" s="20"/>
      <c r="AA29" s="25" t="str">
        <f t="shared" si="1"/>
        <v xml:space="preserve">GC </v>
      </c>
      <c r="AB29" s="72">
        <v>0.40625</v>
      </c>
      <c r="AC29" s="73">
        <v>0.41319444444444442</v>
      </c>
      <c r="AD29" s="68">
        <v>6.9444444444444198E-3</v>
      </c>
      <c r="AE29" s="49"/>
      <c r="AF29" s="50" t="s">
        <v>0</v>
      </c>
      <c r="AG29" s="21"/>
      <c r="AH29" s="22"/>
      <c r="AI29" s="23"/>
      <c r="AJ29" s="24"/>
      <c r="AK29" s="25"/>
      <c r="AL29" s="26"/>
      <c r="AM29" s="27"/>
      <c r="AN29" s="28"/>
      <c r="AO29" s="29"/>
      <c r="AP29" s="94" t="s">
        <v>158</v>
      </c>
      <c r="AQ29" s="29"/>
      <c r="AR29" s="18" t="s">
        <v>130</v>
      </c>
      <c r="AS29" s="18" t="s">
        <v>114</v>
      </c>
    </row>
    <row r="30" spans="1:45" s="30" customFormat="1" ht="78.75" customHeight="1" thickBot="1" x14ac:dyDescent="0.25">
      <c r="A30" s="38">
        <v>10</v>
      </c>
      <c r="B30" s="36" t="s">
        <v>42</v>
      </c>
      <c r="C30" s="43" t="s">
        <v>27</v>
      </c>
      <c r="D30" s="43"/>
      <c r="E30" s="17"/>
      <c r="F30" s="17"/>
      <c r="G30" s="17"/>
      <c r="H30" s="17"/>
      <c r="I30" s="17"/>
      <c r="J30" s="17"/>
      <c r="K30" s="17" t="s">
        <v>27</v>
      </c>
      <c r="L30" s="62">
        <f t="shared" si="0"/>
        <v>1</v>
      </c>
      <c r="M30" s="62" t="s">
        <v>239</v>
      </c>
      <c r="N30" s="38" t="s">
        <v>153</v>
      </c>
      <c r="O30" s="106">
        <v>0.38194444444444442</v>
      </c>
      <c r="P30" s="92" t="s">
        <v>39</v>
      </c>
      <c r="Q30" s="61" t="s">
        <v>66</v>
      </c>
      <c r="R30" s="61" t="s">
        <v>87</v>
      </c>
      <c r="S30" s="105" t="s">
        <v>182</v>
      </c>
      <c r="T30" s="118" t="s">
        <v>237</v>
      </c>
      <c r="U30" s="106"/>
      <c r="V30" s="75"/>
      <c r="W30" s="108"/>
      <c r="X30" s="109"/>
      <c r="Y30" s="19"/>
      <c r="Z30" s="20"/>
      <c r="AA30" s="25" t="str">
        <f t="shared" si="1"/>
        <v xml:space="preserve">GC </v>
      </c>
      <c r="AB30" s="72">
        <v>0.41319444444444442</v>
      </c>
      <c r="AC30" s="73">
        <v>0.4201388888888889</v>
      </c>
      <c r="AD30" s="68">
        <v>6.9444444444444753E-3</v>
      </c>
      <c r="AE30" s="49"/>
      <c r="AF30" s="50" t="s">
        <v>0</v>
      </c>
      <c r="AG30" s="21"/>
      <c r="AH30" s="22"/>
      <c r="AI30" s="23"/>
      <c r="AJ30" s="24"/>
      <c r="AK30" s="25"/>
      <c r="AL30" s="26"/>
      <c r="AM30" s="27"/>
      <c r="AN30" s="28"/>
      <c r="AO30" s="29"/>
      <c r="AP30" s="94" t="s">
        <v>155</v>
      </c>
      <c r="AQ30" s="29"/>
      <c r="AR30" s="18" t="s">
        <v>130</v>
      </c>
      <c r="AS30" s="18"/>
    </row>
    <row r="31" spans="1:45" s="30" customFormat="1" ht="78.75" thickBot="1" x14ac:dyDescent="0.25">
      <c r="A31" s="38">
        <v>11</v>
      </c>
      <c r="B31" s="36" t="s">
        <v>42</v>
      </c>
      <c r="C31" s="43" t="s">
        <v>27</v>
      </c>
      <c r="D31" s="43"/>
      <c r="E31" s="17"/>
      <c r="F31" s="17"/>
      <c r="G31" s="17"/>
      <c r="H31" s="17"/>
      <c r="I31" s="17"/>
      <c r="J31" s="17"/>
      <c r="K31" s="17" t="s">
        <v>27</v>
      </c>
      <c r="L31" s="62">
        <f t="shared" si="0"/>
        <v>1</v>
      </c>
      <c r="M31" s="62" t="s">
        <v>239</v>
      </c>
      <c r="N31" s="38" t="s">
        <v>153</v>
      </c>
      <c r="O31" s="106">
        <v>0.41666666666666669</v>
      </c>
      <c r="P31" s="92" t="s">
        <v>75</v>
      </c>
      <c r="Q31" s="61" t="s">
        <v>66</v>
      </c>
      <c r="R31" s="61" t="s">
        <v>97</v>
      </c>
      <c r="S31" s="117" t="s">
        <v>201</v>
      </c>
      <c r="T31" s="30" t="s">
        <v>238</v>
      </c>
      <c r="U31" s="106"/>
      <c r="V31" s="75"/>
      <c r="W31" s="108"/>
      <c r="X31" s="109"/>
      <c r="Y31" s="19"/>
      <c r="Z31" s="20"/>
      <c r="AA31" s="25" t="str">
        <f t="shared" si="1"/>
        <v xml:space="preserve">GC </v>
      </c>
      <c r="AB31" s="72">
        <v>0.64583333333333337</v>
      </c>
      <c r="AC31" s="73">
        <v>0.65277777777777779</v>
      </c>
      <c r="AD31" s="68">
        <v>6.9444444444444198E-3</v>
      </c>
      <c r="AE31" s="49"/>
      <c r="AF31" s="50" t="s">
        <v>120</v>
      </c>
      <c r="AG31" s="21"/>
      <c r="AH31" s="22"/>
      <c r="AI31" s="23"/>
      <c r="AJ31" s="24"/>
      <c r="AK31" s="37"/>
      <c r="AL31" s="26"/>
      <c r="AM31" s="27"/>
      <c r="AN31" s="28"/>
      <c r="AO31" s="29"/>
      <c r="AP31" s="94" t="s">
        <v>156</v>
      </c>
      <c r="AQ31" s="29"/>
      <c r="AR31" s="18">
        <f>COUNTIF(E31:K31,$K$1)</f>
        <v>0</v>
      </c>
      <c r="AS31" s="18" t="s">
        <v>114</v>
      </c>
    </row>
    <row r="32" spans="1:45" s="30" customFormat="1" ht="78.75" customHeight="1" thickBot="1" x14ac:dyDescent="0.25">
      <c r="A32" s="38">
        <v>12</v>
      </c>
      <c r="B32" s="36" t="s">
        <v>42</v>
      </c>
      <c r="C32" s="43" t="s">
        <v>27</v>
      </c>
      <c r="D32" s="43"/>
      <c r="E32" s="17" t="s">
        <v>27</v>
      </c>
      <c r="F32" s="17"/>
      <c r="G32" s="17"/>
      <c r="H32" s="17"/>
      <c r="I32" s="17"/>
      <c r="J32" s="17"/>
      <c r="K32" s="17"/>
      <c r="L32" s="62">
        <f t="shared" si="0"/>
        <v>1</v>
      </c>
      <c r="M32" s="62" t="s">
        <v>239</v>
      </c>
      <c r="N32" s="38" t="s">
        <v>153</v>
      </c>
      <c r="O32" s="106">
        <v>0.4201388888888889</v>
      </c>
      <c r="P32" s="37" t="s">
        <v>127</v>
      </c>
      <c r="Q32" s="61" t="s">
        <v>66</v>
      </c>
      <c r="R32" s="44" t="s">
        <v>88</v>
      </c>
      <c r="S32" s="102" t="s">
        <v>141</v>
      </c>
      <c r="T32" s="118" t="s">
        <v>237</v>
      </c>
      <c r="U32" s="106"/>
      <c r="V32" s="76"/>
      <c r="W32" s="108"/>
      <c r="X32" s="109"/>
      <c r="Y32" s="19"/>
      <c r="Z32" s="20"/>
      <c r="AA32" s="25" t="str">
        <f t="shared" si="1"/>
        <v xml:space="preserve">GC </v>
      </c>
      <c r="AB32" s="72">
        <v>0.41666666666666669</v>
      </c>
      <c r="AC32" s="73">
        <v>0.42708333333333331</v>
      </c>
      <c r="AD32" s="68">
        <v>1.041666666666663E-2</v>
      </c>
      <c r="AE32" s="49"/>
      <c r="AF32" s="50" t="s">
        <v>0</v>
      </c>
      <c r="AG32" s="21"/>
      <c r="AH32" s="22"/>
      <c r="AI32" s="23"/>
      <c r="AJ32" s="24"/>
      <c r="AK32" s="25"/>
      <c r="AL32" s="26"/>
      <c r="AM32" s="27"/>
      <c r="AN32" s="28"/>
      <c r="AO32" s="29"/>
      <c r="AP32" s="94" t="s">
        <v>158</v>
      </c>
      <c r="AQ32" s="29"/>
      <c r="AR32" s="18" t="s">
        <v>130</v>
      </c>
      <c r="AS32" s="18" t="s">
        <v>114</v>
      </c>
    </row>
    <row r="33" spans="1:45" s="30" customFormat="1" ht="78.75" thickBot="1" x14ac:dyDescent="0.25">
      <c r="A33" s="38">
        <v>13</v>
      </c>
      <c r="B33" s="36" t="s">
        <v>42</v>
      </c>
      <c r="C33" s="43" t="s">
        <v>27</v>
      </c>
      <c r="D33" s="43"/>
      <c r="E33" s="17"/>
      <c r="F33" s="17"/>
      <c r="G33" s="17"/>
      <c r="H33" s="17"/>
      <c r="I33" s="17"/>
      <c r="J33" s="17"/>
      <c r="K33" s="17" t="s">
        <v>27</v>
      </c>
      <c r="L33" s="62">
        <f t="shared" si="0"/>
        <v>1</v>
      </c>
      <c r="M33" s="62" t="s">
        <v>239</v>
      </c>
      <c r="N33" s="38" t="s">
        <v>153</v>
      </c>
      <c r="O33" s="106">
        <v>0.4236111111111111</v>
      </c>
      <c r="P33" s="92" t="s">
        <v>74</v>
      </c>
      <c r="Q33" s="61" t="s">
        <v>66</v>
      </c>
      <c r="R33" s="61" t="s">
        <v>97</v>
      </c>
      <c r="S33" s="117" t="s">
        <v>202</v>
      </c>
      <c r="T33" s="118" t="s">
        <v>237</v>
      </c>
      <c r="U33" s="106"/>
      <c r="V33" s="75"/>
      <c r="W33" s="108"/>
      <c r="X33" s="109"/>
      <c r="Y33" s="19"/>
      <c r="Z33" s="20"/>
      <c r="AA33" s="25" t="str">
        <f t="shared" si="1"/>
        <v xml:space="preserve">GC </v>
      </c>
      <c r="AB33" s="72">
        <v>0.65625</v>
      </c>
      <c r="AC33" s="73">
        <v>0.66319444444444442</v>
      </c>
      <c r="AD33" s="68">
        <v>6.9444444444444198E-3</v>
      </c>
      <c r="AE33" s="49"/>
      <c r="AF33" s="50" t="s">
        <v>0</v>
      </c>
      <c r="AG33" s="21"/>
      <c r="AH33" s="22"/>
      <c r="AI33" s="23"/>
      <c r="AJ33" s="24"/>
      <c r="AK33" s="25"/>
      <c r="AL33" s="25"/>
      <c r="AM33" s="27"/>
      <c r="AN33" s="28"/>
      <c r="AO33" s="29"/>
      <c r="AP33" s="94" t="s">
        <v>158</v>
      </c>
      <c r="AQ33" s="29"/>
      <c r="AR33" s="18" t="s">
        <v>130</v>
      </c>
      <c r="AS33" s="18" t="s">
        <v>114</v>
      </c>
    </row>
    <row r="34" spans="1:45" s="30" customFormat="1" ht="78.75" customHeight="1" thickBot="1" x14ac:dyDescent="0.25">
      <c r="A34" s="38">
        <v>14</v>
      </c>
      <c r="B34" s="36" t="s">
        <v>42</v>
      </c>
      <c r="C34" s="43" t="s">
        <v>27</v>
      </c>
      <c r="D34" s="43"/>
      <c r="E34" s="17" t="s">
        <v>27</v>
      </c>
      <c r="F34" s="17" t="s">
        <v>27</v>
      </c>
      <c r="G34" s="17" t="s">
        <v>27</v>
      </c>
      <c r="H34" s="17" t="s">
        <v>27</v>
      </c>
      <c r="I34" s="17" t="s">
        <v>27</v>
      </c>
      <c r="J34" s="17" t="s">
        <v>27</v>
      </c>
      <c r="K34" s="17" t="s">
        <v>27</v>
      </c>
      <c r="L34" s="62">
        <f t="shared" si="0"/>
        <v>7</v>
      </c>
      <c r="M34" s="62" t="s">
        <v>239</v>
      </c>
      <c r="N34" s="38" t="s">
        <v>152</v>
      </c>
      <c r="O34" s="106">
        <v>0.42708333333333331</v>
      </c>
      <c r="P34" s="61" t="s">
        <v>63</v>
      </c>
      <c r="Q34" s="61" t="s">
        <v>66</v>
      </c>
      <c r="R34" s="61" t="s">
        <v>62</v>
      </c>
      <c r="S34" s="101" t="s">
        <v>179</v>
      </c>
      <c r="T34" s="30" t="s">
        <v>238</v>
      </c>
      <c r="U34" s="106"/>
      <c r="V34" s="75"/>
      <c r="W34" s="108"/>
      <c r="X34" s="109"/>
      <c r="Y34" s="19"/>
      <c r="Z34" s="20"/>
      <c r="AA34" s="25" t="str">
        <f t="shared" si="1"/>
        <v xml:space="preserve">GC </v>
      </c>
      <c r="AB34" s="72">
        <v>0.5</v>
      </c>
      <c r="AC34" s="73">
        <v>0.50277777777777777</v>
      </c>
      <c r="AD34" s="68">
        <v>2.7777777777777679E-3</v>
      </c>
      <c r="AE34" s="49"/>
      <c r="AF34" s="50" t="s">
        <v>120</v>
      </c>
      <c r="AG34" s="21"/>
      <c r="AH34" s="22"/>
      <c r="AI34" s="23"/>
      <c r="AJ34" s="24"/>
      <c r="AK34" s="25"/>
      <c r="AL34" s="26"/>
      <c r="AM34" s="27"/>
      <c r="AN34" s="28"/>
      <c r="AO34" s="29"/>
      <c r="AP34" s="94" t="s">
        <v>85</v>
      </c>
      <c r="AQ34" s="40"/>
      <c r="AR34" s="18" t="s">
        <v>130</v>
      </c>
      <c r="AS34" s="18" t="s">
        <v>114</v>
      </c>
    </row>
    <row r="35" spans="1:45" s="30" customFormat="1" ht="78.75" customHeight="1" thickBot="1" x14ac:dyDescent="0.25">
      <c r="A35" s="38">
        <v>15</v>
      </c>
      <c r="B35" s="36" t="s">
        <v>42</v>
      </c>
      <c r="C35" s="43" t="s">
        <v>27</v>
      </c>
      <c r="D35" s="43"/>
      <c r="E35" s="17" t="s">
        <v>27</v>
      </c>
      <c r="F35" s="17" t="s">
        <v>27</v>
      </c>
      <c r="G35" s="17" t="s">
        <v>27</v>
      </c>
      <c r="H35" s="17" t="s">
        <v>27</v>
      </c>
      <c r="I35" s="17" t="s">
        <v>27</v>
      </c>
      <c r="J35" s="17"/>
      <c r="K35" s="17"/>
      <c r="L35" s="62">
        <f t="shared" si="0"/>
        <v>5</v>
      </c>
      <c r="M35" s="62" t="s">
        <v>239</v>
      </c>
      <c r="N35" s="38" t="s">
        <v>153</v>
      </c>
      <c r="O35" s="106">
        <v>0.4375</v>
      </c>
      <c r="P35" s="92" t="s">
        <v>38</v>
      </c>
      <c r="Q35" s="61" t="s">
        <v>66</v>
      </c>
      <c r="R35" s="44" t="s">
        <v>70</v>
      </c>
      <c r="S35" s="102" t="s">
        <v>180</v>
      </c>
      <c r="T35" s="30" t="s">
        <v>238</v>
      </c>
      <c r="U35" s="106"/>
      <c r="V35" s="75"/>
      <c r="W35" s="108"/>
      <c r="X35" s="109"/>
      <c r="Y35" s="19"/>
      <c r="Z35" s="20"/>
      <c r="AA35" s="25" t="str">
        <f t="shared" si="1"/>
        <v xml:space="preserve">GC </v>
      </c>
      <c r="AB35" s="72">
        <v>0.35416666666666669</v>
      </c>
      <c r="AC35" s="74">
        <v>0.3611111111111111</v>
      </c>
      <c r="AD35" s="68">
        <v>6.9444444444444198E-3</v>
      </c>
      <c r="AE35" s="49"/>
      <c r="AF35" s="50" t="s">
        <v>120</v>
      </c>
      <c r="AG35" s="21"/>
      <c r="AH35" s="22"/>
      <c r="AI35" s="23"/>
      <c r="AJ35" s="24"/>
      <c r="AK35" s="25"/>
      <c r="AL35" s="26"/>
      <c r="AM35" s="27"/>
      <c r="AN35" s="28"/>
      <c r="AO35" s="29"/>
      <c r="AP35" s="94" t="s">
        <v>85</v>
      </c>
      <c r="AQ35" s="29"/>
      <c r="AR35" s="18"/>
      <c r="AS35" s="18"/>
    </row>
    <row r="36" spans="1:45" s="30" customFormat="1" ht="78.75" customHeight="1" thickBot="1" x14ac:dyDescent="0.25">
      <c r="A36" s="38">
        <v>16</v>
      </c>
      <c r="B36" s="36" t="s">
        <v>42</v>
      </c>
      <c r="C36" s="43" t="s">
        <v>27</v>
      </c>
      <c r="D36" s="43"/>
      <c r="E36" s="17"/>
      <c r="F36" s="17"/>
      <c r="G36" s="17"/>
      <c r="H36" s="17"/>
      <c r="I36" s="17"/>
      <c r="J36" s="17" t="s">
        <v>27</v>
      </c>
      <c r="K36" s="17"/>
      <c r="L36" s="62">
        <f t="shared" ref="L36:L37" si="3">COUNTA(E36:K36)</f>
        <v>1</v>
      </c>
      <c r="M36" s="62" t="s">
        <v>239</v>
      </c>
      <c r="N36" s="38" t="s">
        <v>153</v>
      </c>
      <c r="O36" s="106">
        <v>0.45833333333333331</v>
      </c>
      <c r="P36" s="93" t="s">
        <v>71</v>
      </c>
      <c r="Q36" s="61" t="s">
        <v>66</v>
      </c>
      <c r="R36" s="48" t="s">
        <v>84</v>
      </c>
      <c r="S36" s="103" t="s">
        <v>142</v>
      </c>
      <c r="T36" s="118" t="s">
        <v>237</v>
      </c>
      <c r="U36" s="106"/>
      <c r="V36" s="75"/>
      <c r="W36" s="108"/>
      <c r="X36" s="109"/>
      <c r="Y36" s="19"/>
      <c r="Z36" s="20"/>
      <c r="AA36" s="25" t="str">
        <f t="shared" si="1"/>
        <v xml:space="preserve">GC </v>
      </c>
      <c r="AB36" s="72">
        <v>0.45833333333333331</v>
      </c>
      <c r="AC36" s="73">
        <v>0.46527777777777773</v>
      </c>
      <c r="AD36" s="68">
        <v>6.9444444444444198E-3</v>
      </c>
      <c r="AE36" s="49"/>
      <c r="AF36" s="50" t="s">
        <v>120</v>
      </c>
      <c r="AG36" s="21"/>
      <c r="AH36" s="22"/>
      <c r="AI36" s="23"/>
      <c r="AJ36" s="24"/>
      <c r="AK36" s="25"/>
      <c r="AL36" s="26"/>
      <c r="AM36" s="27"/>
      <c r="AN36" s="28"/>
      <c r="AO36" s="29"/>
      <c r="AP36" s="94" t="s">
        <v>85</v>
      </c>
      <c r="AQ36" s="29"/>
      <c r="AR36" s="18"/>
      <c r="AS36" s="18"/>
    </row>
    <row r="37" spans="1:45" s="30" customFormat="1" ht="78.75" customHeight="1" thickBot="1" x14ac:dyDescent="0.25">
      <c r="A37" s="38">
        <v>17</v>
      </c>
      <c r="B37" s="36" t="s">
        <v>42</v>
      </c>
      <c r="C37" s="43" t="s">
        <v>27</v>
      </c>
      <c r="D37" s="43"/>
      <c r="E37" s="17"/>
      <c r="F37" s="17"/>
      <c r="G37" s="17"/>
      <c r="H37" s="17"/>
      <c r="I37" s="17"/>
      <c r="J37" s="17"/>
      <c r="K37" s="17" t="s">
        <v>27</v>
      </c>
      <c r="L37" s="62">
        <f t="shared" si="3"/>
        <v>1</v>
      </c>
      <c r="M37" s="62" t="s">
        <v>239</v>
      </c>
      <c r="N37" s="38" t="s">
        <v>153</v>
      </c>
      <c r="O37" s="106">
        <v>0.45833333333333331</v>
      </c>
      <c r="P37" s="92" t="s">
        <v>80</v>
      </c>
      <c r="Q37" s="61" t="s">
        <v>66</v>
      </c>
      <c r="R37" s="44" t="s">
        <v>106</v>
      </c>
      <c r="S37" s="103" t="s">
        <v>164</v>
      </c>
      <c r="T37" s="118" t="s">
        <v>237</v>
      </c>
      <c r="U37" s="106"/>
      <c r="V37" s="75"/>
      <c r="W37" s="108"/>
      <c r="X37" s="109"/>
      <c r="Y37" s="19"/>
      <c r="Z37" s="20"/>
      <c r="AA37" s="25" t="str">
        <f t="shared" si="1"/>
        <v xml:space="preserve">GC </v>
      </c>
      <c r="AB37" s="72">
        <v>0.60416666666666663</v>
      </c>
      <c r="AC37" s="73">
        <v>0.61111111111111105</v>
      </c>
      <c r="AD37" s="68">
        <v>6.9444444444444198E-3</v>
      </c>
      <c r="AE37" s="49"/>
      <c r="AF37" s="50" t="s">
        <v>0</v>
      </c>
      <c r="AG37" s="21"/>
      <c r="AH37" s="22"/>
      <c r="AI37" s="23"/>
      <c r="AJ37" s="24"/>
      <c r="AK37" s="25"/>
      <c r="AL37" s="26"/>
      <c r="AM37" s="27"/>
      <c r="AN37" s="28"/>
      <c r="AO37" s="29"/>
      <c r="AP37" s="94" t="s">
        <v>158</v>
      </c>
      <c r="AQ37" s="29"/>
      <c r="AR37" s="18" t="s">
        <v>130</v>
      </c>
      <c r="AS37" s="18" t="s">
        <v>114</v>
      </c>
    </row>
    <row r="38" spans="1:45" s="30" customFormat="1" ht="78.75" thickBot="1" x14ac:dyDescent="0.25">
      <c r="A38" s="38">
        <v>18</v>
      </c>
      <c r="B38" s="36" t="s">
        <v>42</v>
      </c>
      <c r="C38" s="43" t="s">
        <v>27</v>
      </c>
      <c r="D38" s="43"/>
      <c r="E38" s="17"/>
      <c r="F38" s="17"/>
      <c r="G38" s="17"/>
      <c r="H38" s="17"/>
      <c r="I38" s="17"/>
      <c r="J38" s="77" t="s">
        <v>27</v>
      </c>
      <c r="K38" s="17"/>
      <c r="L38" s="62">
        <f t="shared" ref="L38:L54" si="4">COUNTA(E38:K38)</f>
        <v>1</v>
      </c>
      <c r="M38" s="62" t="s">
        <v>239</v>
      </c>
      <c r="N38" s="38" t="s">
        <v>153</v>
      </c>
      <c r="O38" s="106">
        <v>0.45833333333333331</v>
      </c>
      <c r="P38" s="92" t="s">
        <v>209</v>
      </c>
      <c r="Q38" s="61" t="s">
        <v>66</v>
      </c>
      <c r="R38" s="61" t="s">
        <v>207</v>
      </c>
      <c r="S38" s="117" t="s">
        <v>212</v>
      </c>
      <c r="T38" s="118" t="s">
        <v>237</v>
      </c>
      <c r="U38" s="106"/>
      <c r="V38" s="75"/>
      <c r="W38" s="108"/>
      <c r="X38" s="109"/>
      <c r="Y38" s="19"/>
      <c r="Z38" s="20"/>
      <c r="AA38" s="25" t="str">
        <f t="shared" si="1"/>
        <v xml:space="preserve">GC </v>
      </c>
      <c r="AB38" s="72">
        <v>0.65625</v>
      </c>
      <c r="AC38" s="73">
        <v>0.66319444444444442</v>
      </c>
      <c r="AD38" s="68">
        <v>6.9444444444444198E-3</v>
      </c>
      <c r="AE38" s="49"/>
      <c r="AF38" s="50" t="s">
        <v>0</v>
      </c>
      <c r="AG38" s="21"/>
      <c r="AH38" s="22"/>
      <c r="AI38" s="23"/>
      <c r="AJ38" s="24"/>
      <c r="AK38" s="25"/>
      <c r="AL38" s="25"/>
      <c r="AM38" s="27"/>
      <c r="AN38" s="28"/>
      <c r="AO38" s="29"/>
      <c r="AP38" s="94" t="s">
        <v>158</v>
      </c>
      <c r="AQ38" s="29"/>
      <c r="AR38" s="18" t="s">
        <v>130</v>
      </c>
      <c r="AS38" s="18" t="s">
        <v>114</v>
      </c>
    </row>
    <row r="39" spans="1:45" s="30" customFormat="1" ht="66" thickBot="1" x14ac:dyDescent="0.25">
      <c r="A39" s="38">
        <v>19</v>
      </c>
      <c r="B39" s="36" t="s">
        <v>42</v>
      </c>
      <c r="C39" s="43" t="s">
        <v>27</v>
      </c>
      <c r="D39" s="43"/>
      <c r="E39" s="17"/>
      <c r="F39" s="17"/>
      <c r="G39" s="17"/>
      <c r="H39" s="17"/>
      <c r="I39" s="17"/>
      <c r="J39" s="77" t="s">
        <v>27</v>
      </c>
      <c r="K39" s="17"/>
      <c r="L39" s="62">
        <f t="shared" ref="L39" si="5">COUNTA(E39:K39)</f>
        <v>1</v>
      </c>
      <c r="M39" s="62" t="s">
        <v>239</v>
      </c>
      <c r="N39" s="38" t="s">
        <v>153</v>
      </c>
      <c r="O39" s="106">
        <v>0.45833333333333331</v>
      </c>
      <c r="P39" s="92" t="s">
        <v>222</v>
      </c>
      <c r="Q39" s="61" t="s">
        <v>66</v>
      </c>
      <c r="R39" s="61" t="s">
        <v>221</v>
      </c>
      <c r="S39" s="117" t="s">
        <v>227</v>
      </c>
      <c r="T39" s="30" t="s">
        <v>238</v>
      </c>
      <c r="U39" s="106"/>
      <c r="V39" s="75"/>
      <c r="W39" s="108"/>
      <c r="X39" s="109"/>
      <c r="Y39" s="19"/>
      <c r="Z39" s="20"/>
      <c r="AA39" s="25" t="str">
        <f t="shared" si="1"/>
        <v xml:space="preserve">GC </v>
      </c>
      <c r="AB39" s="72">
        <v>0.65625</v>
      </c>
      <c r="AC39" s="73">
        <v>0.66319444444444442</v>
      </c>
      <c r="AD39" s="68">
        <v>6.9444444444444198E-3</v>
      </c>
      <c r="AE39" s="49"/>
      <c r="AF39" s="50" t="s">
        <v>0</v>
      </c>
      <c r="AG39" s="21"/>
      <c r="AH39" s="22"/>
      <c r="AI39" s="23"/>
      <c r="AJ39" s="24"/>
      <c r="AK39" s="25"/>
      <c r="AL39" s="25"/>
      <c r="AM39" s="27"/>
      <c r="AN39" s="28"/>
      <c r="AO39" s="29"/>
      <c r="AP39" s="94" t="s">
        <v>158</v>
      </c>
      <c r="AQ39" s="29"/>
      <c r="AR39" s="18" t="s">
        <v>130</v>
      </c>
      <c r="AS39" s="18" t="s">
        <v>114</v>
      </c>
    </row>
    <row r="40" spans="1:45" s="30" customFormat="1" ht="78.75" thickBot="1" x14ac:dyDescent="0.25">
      <c r="A40" s="38">
        <v>20</v>
      </c>
      <c r="B40" s="36" t="s">
        <v>42</v>
      </c>
      <c r="C40" s="43" t="s">
        <v>27</v>
      </c>
      <c r="D40" s="43"/>
      <c r="E40" s="17"/>
      <c r="F40" s="17"/>
      <c r="G40" s="17"/>
      <c r="H40" s="17"/>
      <c r="I40" s="17"/>
      <c r="J40" s="17"/>
      <c r="K40" s="17" t="s">
        <v>27</v>
      </c>
      <c r="L40" s="62">
        <f t="shared" ref="L40" si="6">COUNTA(E40:K40)</f>
        <v>1</v>
      </c>
      <c r="M40" s="62" t="s">
        <v>239</v>
      </c>
      <c r="N40" s="38" t="s">
        <v>153</v>
      </c>
      <c r="O40" s="106">
        <v>0.45833333333333331</v>
      </c>
      <c r="P40" s="92" t="s">
        <v>209</v>
      </c>
      <c r="Q40" s="61" t="s">
        <v>66</v>
      </c>
      <c r="R40" s="61" t="s">
        <v>208</v>
      </c>
      <c r="S40" s="117" t="s">
        <v>216</v>
      </c>
      <c r="T40" s="118" t="s">
        <v>237</v>
      </c>
      <c r="U40" s="106"/>
      <c r="V40" s="75"/>
      <c r="W40" s="108"/>
      <c r="X40" s="109"/>
      <c r="Y40" s="19"/>
      <c r="Z40" s="20"/>
      <c r="AA40" s="25" t="str">
        <f t="shared" si="1"/>
        <v xml:space="preserve">GC </v>
      </c>
      <c r="AB40" s="72">
        <v>0.65625</v>
      </c>
      <c r="AC40" s="73">
        <v>0.66319444444444442</v>
      </c>
      <c r="AD40" s="68">
        <v>6.9444444444444198E-3</v>
      </c>
      <c r="AE40" s="49"/>
      <c r="AF40" s="50" t="s">
        <v>0</v>
      </c>
      <c r="AG40" s="21"/>
      <c r="AH40" s="22"/>
      <c r="AI40" s="23"/>
      <c r="AJ40" s="24"/>
      <c r="AK40" s="25"/>
      <c r="AL40" s="25"/>
      <c r="AM40" s="27"/>
      <c r="AN40" s="28"/>
      <c r="AO40" s="29"/>
      <c r="AP40" s="94" t="s">
        <v>158</v>
      </c>
      <c r="AQ40" s="29"/>
      <c r="AR40" s="18" t="s">
        <v>130</v>
      </c>
      <c r="AS40" s="18" t="s">
        <v>114</v>
      </c>
    </row>
    <row r="41" spans="1:45" s="30" customFormat="1" ht="66" thickBot="1" x14ac:dyDescent="0.25">
      <c r="A41" s="38">
        <v>21</v>
      </c>
      <c r="B41" s="36" t="s">
        <v>42</v>
      </c>
      <c r="C41" s="43" t="s">
        <v>27</v>
      </c>
      <c r="D41" s="43"/>
      <c r="E41" s="17"/>
      <c r="F41" s="17"/>
      <c r="G41" s="17"/>
      <c r="H41" s="17"/>
      <c r="I41" s="17"/>
      <c r="J41" s="17"/>
      <c r="K41" s="17" t="s">
        <v>27</v>
      </c>
      <c r="L41" s="62">
        <f t="shared" ref="L41" si="7">COUNTA(E41:K41)</f>
        <v>1</v>
      </c>
      <c r="M41" s="62" t="s">
        <v>239</v>
      </c>
      <c r="N41" s="38" t="s">
        <v>153</v>
      </c>
      <c r="O41" s="106">
        <v>0.45833333333333331</v>
      </c>
      <c r="P41" s="92" t="s">
        <v>222</v>
      </c>
      <c r="Q41" s="61" t="s">
        <v>66</v>
      </c>
      <c r="R41" s="61" t="s">
        <v>220</v>
      </c>
      <c r="S41" s="117" t="s">
        <v>226</v>
      </c>
      <c r="T41" s="30" t="s">
        <v>238</v>
      </c>
      <c r="U41" s="106"/>
      <c r="V41" s="75"/>
      <c r="W41" s="108"/>
      <c r="X41" s="109"/>
      <c r="Y41" s="19"/>
      <c r="Z41" s="20"/>
      <c r="AA41" s="25" t="str">
        <f t="shared" si="1"/>
        <v xml:space="preserve">GC </v>
      </c>
      <c r="AB41" s="72">
        <v>0.65625</v>
      </c>
      <c r="AC41" s="73">
        <v>0.66319444444444442</v>
      </c>
      <c r="AD41" s="68">
        <v>6.9444444444444198E-3</v>
      </c>
      <c r="AE41" s="49"/>
      <c r="AF41" s="50" t="s">
        <v>0</v>
      </c>
      <c r="AG41" s="21"/>
      <c r="AH41" s="22"/>
      <c r="AI41" s="23"/>
      <c r="AJ41" s="24"/>
      <c r="AK41" s="25"/>
      <c r="AL41" s="25"/>
      <c r="AM41" s="27"/>
      <c r="AN41" s="28"/>
      <c r="AO41" s="29"/>
      <c r="AP41" s="94" t="s">
        <v>158</v>
      </c>
      <c r="AQ41" s="29"/>
      <c r="AR41" s="18" t="s">
        <v>130</v>
      </c>
      <c r="AS41" s="18" t="s">
        <v>114</v>
      </c>
    </row>
    <row r="42" spans="1:45" s="30" customFormat="1" ht="78.75" thickBot="1" x14ac:dyDescent="0.25">
      <c r="A42" s="38">
        <v>22</v>
      </c>
      <c r="B42" s="36" t="s">
        <v>42</v>
      </c>
      <c r="C42" s="43" t="s">
        <v>27</v>
      </c>
      <c r="D42" s="43"/>
      <c r="E42" s="17"/>
      <c r="F42" s="17"/>
      <c r="G42" s="17"/>
      <c r="H42" s="17"/>
      <c r="I42" s="17"/>
      <c r="J42" s="77" t="s">
        <v>27</v>
      </c>
      <c r="K42" s="17"/>
      <c r="L42" s="62">
        <f t="shared" ref="L42" si="8">COUNTA(E42:K42)</f>
        <v>1</v>
      </c>
      <c r="M42" s="62" t="s">
        <v>239</v>
      </c>
      <c r="N42" s="38" t="s">
        <v>153</v>
      </c>
      <c r="O42" s="106">
        <v>0.46527777777777773</v>
      </c>
      <c r="P42" s="92" t="s">
        <v>210</v>
      </c>
      <c r="Q42" s="61" t="s">
        <v>66</v>
      </c>
      <c r="R42" s="61" t="s">
        <v>207</v>
      </c>
      <c r="S42" s="117" t="s">
        <v>213</v>
      </c>
      <c r="T42" s="118" t="s">
        <v>237</v>
      </c>
      <c r="U42" s="106"/>
      <c r="V42" s="75"/>
      <c r="W42" s="108"/>
      <c r="X42" s="109"/>
      <c r="Y42" s="19"/>
      <c r="Z42" s="20"/>
      <c r="AA42" s="25" t="str">
        <f t="shared" si="1"/>
        <v xml:space="preserve">GC </v>
      </c>
      <c r="AB42" s="72">
        <v>0.65625</v>
      </c>
      <c r="AC42" s="73">
        <v>0.66319444444444442</v>
      </c>
      <c r="AD42" s="68">
        <v>6.9444444444444198E-3</v>
      </c>
      <c r="AE42" s="49"/>
      <c r="AF42" s="50" t="s">
        <v>0</v>
      </c>
      <c r="AG42" s="21"/>
      <c r="AH42" s="22"/>
      <c r="AI42" s="23"/>
      <c r="AJ42" s="24"/>
      <c r="AK42" s="25"/>
      <c r="AL42" s="25"/>
      <c r="AM42" s="27"/>
      <c r="AN42" s="28"/>
      <c r="AO42" s="29"/>
      <c r="AP42" s="94" t="s">
        <v>158</v>
      </c>
      <c r="AQ42" s="29"/>
      <c r="AR42" s="18" t="s">
        <v>130</v>
      </c>
      <c r="AS42" s="18" t="s">
        <v>114</v>
      </c>
    </row>
    <row r="43" spans="1:45" s="30" customFormat="1" ht="66" thickBot="1" x14ac:dyDescent="0.25">
      <c r="A43" s="38">
        <v>23</v>
      </c>
      <c r="B43" s="36" t="s">
        <v>42</v>
      </c>
      <c r="C43" s="43" t="s">
        <v>27</v>
      </c>
      <c r="D43" s="43"/>
      <c r="E43" s="17"/>
      <c r="F43" s="17"/>
      <c r="G43" s="17"/>
      <c r="H43" s="17"/>
      <c r="I43" s="17"/>
      <c r="J43" s="77" t="s">
        <v>27</v>
      </c>
      <c r="K43" s="17"/>
      <c r="L43" s="62">
        <f t="shared" ref="L43" si="9">COUNTA(E43:K43)</f>
        <v>1</v>
      </c>
      <c r="M43" s="62" t="s">
        <v>239</v>
      </c>
      <c r="N43" s="38" t="s">
        <v>153</v>
      </c>
      <c r="O43" s="106">
        <v>0.46527777777777773</v>
      </c>
      <c r="P43" s="92" t="s">
        <v>210</v>
      </c>
      <c r="Q43" s="61" t="s">
        <v>66</v>
      </c>
      <c r="R43" s="61" t="s">
        <v>221</v>
      </c>
      <c r="S43" s="117" t="s">
        <v>228</v>
      </c>
      <c r="T43" s="30" t="s">
        <v>238</v>
      </c>
      <c r="U43" s="106"/>
      <c r="V43" s="75"/>
      <c r="W43" s="108"/>
      <c r="X43" s="109"/>
      <c r="Y43" s="19"/>
      <c r="Z43" s="20"/>
      <c r="AA43" s="25" t="str">
        <f t="shared" si="1"/>
        <v xml:space="preserve">GC </v>
      </c>
      <c r="AB43" s="72">
        <v>0.65625</v>
      </c>
      <c r="AC43" s="73">
        <v>0.66319444444444442</v>
      </c>
      <c r="AD43" s="68">
        <v>6.9444444444444198E-3</v>
      </c>
      <c r="AE43" s="49"/>
      <c r="AF43" s="50" t="s">
        <v>0</v>
      </c>
      <c r="AG43" s="21"/>
      <c r="AH43" s="22"/>
      <c r="AI43" s="23"/>
      <c r="AJ43" s="24"/>
      <c r="AK43" s="25"/>
      <c r="AL43" s="25"/>
      <c r="AM43" s="27"/>
      <c r="AN43" s="28"/>
      <c r="AO43" s="29"/>
      <c r="AP43" s="94" t="s">
        <v>158</v>
      </c>
      <c r="AQ43" s="29"/>
      <c r="AR43" s="18" t="s">
        <v>130</v>
      </c>
      <c r="AS43" s="18" t="s">
        <v>114</v>
      </c>
    </row>
    <row r="44" spans="1:45" s="30" customFormat="1" ht="78.75" thickBot="1" x14ac:dyDescent="0.25">
      <c r="A44" s="38">
        <v>24</v>
      </c>
      <c r="B44" s="36" t="s">
        <v>42</v>
      </c>
      <c r="C44" s="43" t="s">
        <v>27</v>
      </c>
      <c r="D44" s="43"/>
      <c r="E44" s="17"/>
      <c r="F44" s="17"/>
      <c r="G44" s="17"/>
      <c r="H44" s="17"/>
      <c r="I44" s="17"/>
      <c r="J44" s="17"/>
      <c r="K44" s="17" t="s">
        <v>27</v>
      </c>
      <c r="L44" s="62">
        <f t="shared" ref="L44:L49" si="10">COUNTA(E44:K44)</f>
        <v>1</v>
      </c>
      <c r="M44" s="62" t="s">
        <v>239</v>
      </c>
      <c r="N44" s="38" t="s">
        <v>153</v>
      </c>
      <c r="O44" s="106">
        <v>0.46527777777777773</v>
      </c>
      <c r="P44" s="92" t="s">
        <v>210</v>
      </c>
      <c r="Q44" s="61" t="s">
        <v>66</v>
      </c>
      <c r="R44" s="61" t="s">
        <v>208</v>
      </c>
      <c r="S44" s="117" t="s">
        <v>217</v>
      </c>
      <c r="T44" s="118" t="s">
        <v>237</v>
      </c>
      <c r="U44" s="106"/>
      <c r="V44" s="75"/>
      <c r="W44" s="108"/>
      <c r="X44" s="109"/>
      <c r="Y44" s="19"/>
      <c r="Z44" s="20"/>
      <c r="AA44" s="25" t="str">
        <f t="shared" si="1"/>
        <v xml:space="preserve">GC </v>
      </c>
      <c r="AB44" s="72">
        <v>0.65625</v>
      </c>
      <c r="AC44" s="73">
        <v>0.66319444444444442</v>
      </c>
      <c r="AD44" s="68">
        <v>6.9444444444444198E-3</v>
      </c>
      <c r="AE44" s="49"/>
      <c r="AF44" s="50" t="s">
        <v>0</v>
      </c>
      <c r="AG44" s="21"/>
      <c r="AH44" s="22"/>
      <c r="AI44" s="23"/>
      <c r="AJ44" s="24"/>
      <c r="AK44" s="25"/>
      <c r="AL44" s="25"/>
      <c r="AM44" s="27"/>
      <c r="AN44" s="28"/>
      <c r="AO44" s="29"/>
      <c r="AP44" s="94" t="s">
        <v>158</v>
      </c>
      <c r="AQ44" s="29"/>
      <c r="AR44" s="18" t="s">
        <v>130</v>
      </c>
      <c r="AS44" s="18" t="s">
        <v>114</v>
      </c>
    </row>
    <row r="45" spans="1:45" s="30" customFormat="1" ht="66" thickBot="1" x14ac:dyDescent="0.25">
      <c r="A45" s="38">
        <v>25</v>
      </c>
      <c r="B45" s="36" t="s">
        <v>42</v>
      </c>
      <c r="C45" s="43" t="s">
        <v>27</v>
      </c>
      <c r="D45" s="43"/>
      <c r="E45" s="17"/>
      <c r="F45" s="17"/>
      <c r="G45" s="17"/>
      <c r="H45" s="17"/>
      <c r="I45" s="17"/>
      <c r="J45" s="17"/>
      <c r="K45" s="17" t="s">
        <v>27</v>
      </c>
      <c r="L45" s="62">
        <f t="shared" ref="L45" si="11">COUNTA(E45:K45)</f>
        <v>1</v>
      </c>
      <c r="M45" s="62" t="s">
        <v>239</v>
      </c>
      <c r="N45" s="38" t="s">
        <v>153</v>
      </c>
      <c r="O45" s="106">
        <v>0.46527777777777773</v>
      </c>
      <c r="P45" s="92" t="s">
        <v>210</v>
      </c>
      <c r="Q45" s="61" t="s">
        <v>66</v>
      </c>
      <c r="R45" s="61" t="s">
        <v>220</v>
      </c>
      <c r="S45" s="117" t="s">
        <v>225</v>
      </c>
      <c r="T45" s="30" t="s">
        <v>238</v>
      </c>
      <c r="U45" s="106"/>
      <c r="V45" s="75"/>
      <c r="W45" s="108"/>
      <c r="X45" s="109"/>
      <c r="Y45" s="19"/>
      <c r="Z45" s="20"/>
      <c r="AA45" s="25" t="str">
        <f t="shared" si="1"/>
        <v xml:space="preserve">GC </v>
      </c>
      <c r="AB45" s="72">
        <v>0.65625</v>
      </c>
      <c r="AC45" s="73">
        <v>0.66319444444444442</v>
      </c>
      <c r="AD45" s="68">
        <v>6.9444444444444198E-3</v>
      </c>
      <c r="AE45" s="49"/>
      <c r="AF45" s="50" t="s">
        <v>0</v>
      </c>
      <c r="AG45" s="21"/>
      <c r="AH45" s="22"/>
      <c r="AI45" s="23"/>
      <c r="AJ45" s="24"/>
      <c r="AK45" s="25"/>
      <c r="AL45" s="25"/>
      <c r="AM45" s="27"/>
      <c r="AN45" s="28"/>
      <c r="AO45" s="29"/>
      <c r="AP45" s="94" t="s">
        <v>158</v>
      </c>
      <c r="AQ45" s="29"/>
      <c r="AR45" s="18" t="s">
        <v>130</v>
      </c>
      <c r="AS45" s="18" t="s">
        <v>114</v>
      </c>
    </row>
    <row r="46" spans="1:45" s="30" customFormat="1" ht="78.75" customHeight="1" thickBot="1" x14ac:dyDescent="0.25">
      <c r="A46" s="38">
        <v>26</v>
      </c>
      <c r="B46" s="36" t="s">
        <v>42</v>
      </c>
      <c r="C46" s="43" t="s">
        <v>27</v>
      </c>
      <c r="D46" s="43"/>
      <c r="E46" s="17"/>
      <c r="F46" s="17"/>
      <c r="G46" s="17"/>
      <c r="H46" s="17"/>
      <c r="I46" s="17"/>
      <c r="J46" s="17"/>
      <c r="K46" s="17" t="s">
        <v>27</v>
      </c>
      <c r="L46" s="62">
        <f t="shared" si="10"/>
        <v>1</v>
      </c>
      <c r="M46" s="62" t="s">
        <v>239</v>
      </c>
      <c r="N46" s="38" t="s">
        <v>153</v>
      </c>
      <c r="O46" s="106">
        <v>0.46875</v>
      </c>
      <c r="P46" s="92" t="s">
        <v>81</v>
      </c>
      <c r="Q46" s="61" t="s">
        <v>66</v>
      </c>
      <c r="R46" s="44" t="s">
        <v>106</v>
      </c>
      <c r="S46" s="103" t="s">
        <v>165</v>
      </c>
      <c r="T46" s="118" t="s">
        <v>237</v>
      </c>
      <c r="U46" s="106"/>
      <c r="V46" s="75"/>
      <c r="W46" s="108"/>
      <c r="X46" s="109"/>
      <c r="Y46" s="19"/>
      <c r="Z46" s="20"/>
      <c r="AA46" s="25" t="str">
        <f t="shared" si="1"/>
        <v xml:space="preserve">GC </v>
      </c>
      <c r="AB46" s="72">
        <v>0.61111111111111105</v>
      </c>
      <c r="AC46" s="73">
        <v>0.61458333333333337</v>
      </c>
      <c r="AD46" s="68">
        <v>3.4722222222223209E-3</v>
      </c>
      <c r="AE46" s="49"/>
      <c r="AF46" s="50" t="s">
        <v>0</v>
      </c>
      <c r="AG46" s="21"/>
      <c r="AH46" s="22"/>
      <c r="AI46" s="23"/>
      <c r="AJ46" s="24"/>
      <c r="AK46" s="25"/>
      <c r="AL46" s="26"/>
      <c r="AM46" s="27"/>
      <c r="AN46" s="28"/>
      <c r="AO46" s="29"/>
      <c r="AP46" s="94" t="s">
        <v>155</v>
      </c>
      <c r="AQ46" s="29"/>
      <c r="AR46" s="18" t="s">
        <v>130</v>
      </c>
      <c r="AS46" s="18"/>
    </row>
    <row r="47" spans="1:45" s="30" customFormat="1" ht="78.75" customHeight="1" thickBot="1" x14ac:dyDescent="0.25">
      <c r="A47" s="38">
        <v>27</v>
      </c>
      <c r="B47" s="36" t="s">
        <v>42</v>
      </c>
      <c r="C47" s="43" t="s">
        <v>27</v>
      </c>
      <c r="D47" s="43"/>
      <c r="E47" s="17"/>
      <c r="F47" s="17"/>
      <c r="G47" s="17"/>
      <c r="H47" s="17"/>
      <c r="I47" s="17"/>
      <c r="J47" s="17" t="s">
        <v>27</v>
      </c>
      <c r="K47" s="17"/>
      <c r="L47" s="62">
        <f t="shared" si="10"/>
        <v>1</v>
      </c>
      <c r="M47" s="62" t="s">
        <v>239</v>
      </c>
      <c r="N47" s="38" t="s">
        <v>153</v>
      </c>
      <c r="O47" s="106">
        <v>0.46875</v>
      </c>
      <c r="P47" s="93" t="s">
        <v>73</v>
      </c>
      <c r="Q47" s="61" t="s">
        <v>66</v>
      </c>
      <c r="R47" s="48" t="s">
        <v>99</v>
      </c>
      <c r="S47" s="103" t="s">
        <v>143</v>
      </c>
      <c r="T47" s="118" t="s">
        <v>237</v>
      </c>
      <c r="U47" s="106"/>
      <c r="V47" s="75"/>
      <c r="W47" s="108"/>
      <c r="X47" s="109"/>
      <c r="Y47" s="19"/>
      <c r="Z47" s="20"/>
      <c r="AA47" s="25" t="str">
        <f t="shared" si="1"/>
        <v xml:space="preserve">GC </v>
      </c>
      <c r="AB47" s="72">
        <v>0.46875</v>
      </c>
      <c r="AC47" s="73">
        <v>0.47222222222222227</v>
      </c>
      <c r="AD47" s="68">
        <v>3.4722222222222654E-3</v>
      </c>
      <c r="AE47" s="49"/>
      <c r="AF47" s="50" t="s">
        <v>0</v>
      </c>
      <c r="AG47" s="21"/>
      <c r="AH47" s="22"/>
      <c r="AI47" s="23"/>
      <c r="AJ47" s="24"/>
      <c r="AK47" s="25"/>
      <c r="AL47" s="26"/>
      <c r="AM47" s="27"/>
      <c r="AN47" s="28"/>
      <c r="AO47" s="29"/>
      <c r="AP47" s="94" t="s">
        <v>157</v>
      </c>
      <c r="AQ47" s="18" t="s">
        <v>94</v>
      </c>
      <c r="AR47" s="18">
        <f>COUNTIF(E47:K47,$K$1)</f>
        <v>0</v>
      </c>
      <c r="AS47" s="18" t="s">
        <v>114</v>
      </c>
    </row>
    <row r="48" spans="1:45" s="30" customFormat="1" ht="78.75" customHeight="1" thickBot="1" x14ac:dyDescent="0.25">
      <c r="A48" s="38">
        <v>28</v>
      </c>
      <c r="B48" s="36" t="s">
        <v>42</v>
      </c>
      <c r="C48" s="43" t="s">
        <v>27</v>
      </c>
      <c r="D48" s="43"/>
      <c r="E48" s="17"/>
      <c r="F48" s="17"/>
      <c r="G48" s="17"/>
      <c r="H48" s="17"/>
      <c r="I48" s="17"/>
      <c r="J48" s="17"/>
      <c r="K48" s="17" t="s">
        <v>27</v>
      </c>
      <c r="L48" s="62">
        <f t="shared" si="10"/>
        <v>1</v>
      </c>
      <c r="M48" s="62" t="s">
        <v>239</v>
      </c>
      <c r="N48" s="38" t="s">
        <v>153</v>
      </c>
      <c r="O48" s="106">
        <v>0.47916666666666669</v>
      </c>
      <c r="P48" s="92" t="s">
        <v>77</v>
      </c>
      <c r="Q48" s="61" t="s">
        <v>66</v>
      </c>
      <c r="R48" s="48" t="s">
        <v>69</v>
      </c>
      <c r="S48" s="103" t="s">
        <v>183</v>
      </c>
      <c r="T48" s="30" t="s">
        <v>238</v>
      </c>
      <c r="U48" s="106"/>
      <c r="V48" s="75"/>
      <c r="W48" s="108"/>
      <c r="X48" s="109"/>
      <c r="Y48" s="19"/>
      <c r="Z48" s="20"/>
      <c r="AA48" s="25" t="str">
        <f t="shared" si="1"/>
        <v xml:space="preserve">GC </v>
      </c>
      <c r="AB48" s="72">
        <v>0.43958333333333338</v>
      </c>
      <c r="AC48" s="73">
        <v>0.4465277777777778</v>
      </c>
      <c r="AD48" s="68">
        <v>6.9444444444444198E-3</v>
      </c>
      <c r="AE48" s="49"/>
      <c r="AF48" s="50" t="s">
        <v>120</v>
      </c>
      <c r="AG48" s="21" t="s">
        <v>47</v>
      </c>
      <c r="AH48" s="21" t="s">
        <v>55</v>
      </c>
      <c r="AI48" s="23" t="s">
        <v>65</v>
      </c>
      <c r="AJ48" s="24">
        <v>1</v>
      </c>
      <c r="AK48" s="25"/>
      <c r="AL48" s="26"/>
      <c r="AM48" s="27"/>
      <c r="AN48" s="28"/>
      <c r="AO48" s="29">
        <v>1</v>
      </c>
      <c r="AP48" s="94" t="s">
        <v>157</v>
      </c>
      <c r="AQ48" s="29"/>
      <c r="AR48" s="18" t="s">
        <v>110</v>
      </c>
      <c r="AS48" s="18" t="s">
        <v>114</v>
      </c>
    </row>
    <row r="49" spans="1:45" s="30" customFormat="1" ht="98.25" thickBot="1" x14ac:dyDescent="0.25">
      <c r="A49" s="38">
        <v>29</v>
      </c>
      <c r="B49" s="36" t="s">
        <v>42</v>
      </c>
      <c r="C49" s="43" t="s">
        <v>27</v>
      </c>
      <c r="D49" s="43"/>
      <c r="E49" s="17"/>
      <c r="F49" s="17"/>
      <c r="G49" s="17"/>
      <c r="H49" s="17"/>
      <c r="I49" s="17"/>
      <c r="J49" s="77" t="s">
        <v>27</v>
      </c>
      <c r="K49" s="17"/>
      <c r="L49" s="62">
        <f t="shared" si="10"/>
        <v>1</v>
      </c>
      <c r="M49" s="62" t="s">
        <v>239</v>
      </c>
      <c r="N49" s="38" t="s">
        <v>153</v>
      </c>
      <c r="O49" s="106">
        <v>0.4861111111111111</v>
      </c>
      <c r="P49" s="92" t="s">
        <v>210</v>
      </c>
      <c r="Q49" s="61" t="s">
        <v>66</v>
      </c>
      <c r="R49" s="61" t="s">
        <v>207</v>
      </c>
      <c r="S49" s="117" t="s">
        <v>214</v>
      </c>
      <c r="T49" s="118" t="s">
        <v>237</v>
      </c>
      <c r="U49" s="106"/>
      <c r="V49" s="75"/>
      <c r="W49" s="108"/>
      <c r="X49" s="109"/>
      <c r="Y49" s="19"/>
      <c r="Z49" s="20"/>
      <c r="AA49" s="25" t="str">
        <f t="shared" si="1"/>
        <v xml:space="preserve">GC </v>
      </c>
      <c r="AB49" s="72">
        <v>0.65625</v>
      </c>
      <c r="AC49" s="73">
        <v>0.66319444444444442</v>
      </c>
      <c r="AD49" s="68">
        <v>6.9444444444444198E-3</v>
      </c>
      <c r="AE49" s="49"/>
      <c r="AF49" s="50" t="s">
        <v>0</v>
      </c>
      <c r="AG49" s="21"/>
      <c r="AH49" s="22"/>
      <c r="AI49" s="23"/>
      <c r="AJ49" s="24"/>
      <c r="AK49" s="25"/>
      <c r="AL49" s="25"/>
      <c r="AM49" s="27"/>
      <c r="AN49" s="28"/>
      <c r="AO49" s="29"/>
      <c r="AP49" s="94" t="s">
        <v>158</v>
      </c>
      <c r="AQ49" s="29"/>
      <c r="AR49" s="18" t="s">
        <v>130</v>
      </c>
      <c r="AS49" s="18" t="s">
        <v>114</v>
      </c>
    </row>
    <row r="50" spans="1:45" s="30" customFormat="1" ht="78.75" thickBot="1" x14ac:dyDescent="0.25">
      <c r="A50" s="38">
        <v>30</v>
      </c>
      <c r="B50" s="36" t="s">
        <v>42</v>
      </c>
      <c r="C50" s="43" t="s">
        <v>27</v>
      </c>
      <c r="D50" s="43"/>
      <c r="E50" s="17"/>
      <c r="F50" s="17"/>
      <c r="G50" s="17"/>
      <c r="H50" s="17"/>
      <c r="I50" s="17"/>
      <c r="J50" s="77" t="s">
        <v>27</v>
      </c>
      <c r="K50" s="17"/>
      <c r="L50" s="62">
        <f t="shared" ref="L50:L51" si="12">COUNTA(E50:K50)</f>
        <v>1</v>
      </c>
      <c r="M50" s="62" t="s">
        <v>239</v>
      </c>
      <c r="N50" s="38" t="s">
        <v>153</v>
      </c>
      <c r="O50" s="106">
        <v>0.4861111111111111</v>
      </c>
      <c r="P50" s="92" t="s">
        <v>210</v>
      </c>
      <c r="Q50" s="61" t="s">
        <v>66</v>
      </c>
      <c r="R50" s="61" t="s">
        <v>221</v>
      </c>
      <c r="S50" s="117" t="s">
        <v>229</v>
      </c>
      <c r="T50" s="30" t="s">
        <v>238</v>
      </c>
      <c r="U50" s="106"/>
      <c r="V50" s="75"/>
      <c r="W50" s="108"/>
      <c r="X50" s="109"/>
      <c r="Y50" s="19"/>
      <c r="Z50" s="20"/>
      <c r="AA50" s="25" t="str">
        <f t="shared" si="1"/>
        <v xml:space="preserve">GC </v>
      </c>
      <c r="AB50" s="72">
        <v>0.65625</v>
      </c>
      <c r="AC50" s="73">
        <v>0.66319444444444442</v>
      </c>
      <c r="AD50" s="68">
        <v>6.9444444444444198E-3</v>
      </c>
      <c r="AE50" s="49"/>
      <c r="AF50" s="50" t="s">
        <v>0</v>
      </c>
      <c r="AG50" s="21"/>
      <c r="AH50" s="22"/>
      <c r="AI50" s="23"/>
      <c r="AJ50" s="24"/>
      <c r="AK50" s="25"/>
      <c r="AL50" s="25"/>
      <c r="AM50" s="27"/>
      <c r="AN50" s="28"/>
      <c r="AO50" s="29"/>
      <c r="AP50" s="94" t="s">
        <v>158</v>
      </c>
      <c r="AQ50" s="29"/>
      <c r="AR50" s="18" t="s">
        <v>130</v>
      </c>
      <c r="AS50" s="18" t="s">
        <v>114</v>
      </c>
    </row>
    <row r="51" spans="1:45" s="30" customFormat="1" ht="98.25" thickBot="1" x14ac:dyDescent="0.25">
      <c r="A51" s="38">
        <v>31</v>
      </c>
      <c r="B51" s="36" t="s">
        <v>42</v>
      </c>
      <c r="C51" s="43" t="s">
        <v>27</v>
      </c>
      <c r="D51" s="43"/>
      <c r="E51" s="17"/>
      <c r="F51" s="17"/>
      <c r="G51" s="17"/>
      <c r="H51" s="17"/>
      <c r="I51" s="17"/>
      <c r="J51" s="17"/>
      <c r="K51" s="17" t="s">
        <v>27</v>
      </c>
      <c r="L51" s="62">
        <f t="shared" si="12"/>
        <v>1</v>
      </c>
      <c r="M51" s="62" t="s">
        <v>239</v>
      </c>
      <c r="N51" s="38" t="s">
        <v>153</v>
      </c>
      <c r="O51" s="106">
        <v>0.4861111111111111</v>
      </c>
      <c r="P51" s="92" t="s">
        <v>210</v>
      </c>
      <c r="Q51" s="61" t="s">
        <v>66</v>
      </c>
      <c r="R51" s="61" t="s">
        <v>208</v>
      </c>
      <c r="S51" s="117" t="s">
        <v>218</v>
      </c>
      <c r="T51" s="118" t="s">
        <v>237</v>
      </c>
      <c r="U51" s="106"/>
      <c r="V51" s="75"/>
      <c r="W51" s="108"/>
      <c r="X51" s="109"/>
      <c r="Y51" s="19"/>
      <c r="Z51" s="20"/>
      <c r="AA51" s="25" t="str">
        <f t="shared" si="1"/>
        <v xml:space="preserve">GC </v>
      </c>
      <c r="AB51" s="72">
        <v>0.65625</v>
      </c>
      <c r="AC51" s="73">
        <v>0.66319444444444442</v>
      </c>
      <c r="AD51" s="68">
        <v>6.9444444444444198E-3</v>
      </c>
      <c r="AE51" s="49"/>
      <c r="AF51" s="50" t="s">
        <v>0</v>
      </c>
      <c r="AG51" s="21"/>
      <c r="AH51" s="22"/>
      <c r="AI51" s="23"/>
      <c r="AJ51" s="24"/>
      <c r="AK51" s="25"/>
      <c r="AL51" s="25"/>
      <c r="AM51" s="27"/>
      <c r="AN51" s="28"/>
      <c r="AO51" s="29"/>
      <c r="AP51" s="94" t="s">
        <v>158</v>
      </c>
      <c r="AQ51" s="29"/>
      <c r="AR51" s="18" t="s">
        <v>130</v>
      </c>
      <c r="AS51" s="18" t="s">
        <v>114</v>
      </c>
    </row>
    <row r="52" spans="1:45" s="30" customFormat="1" ht="78.75" thickBot="1" x14ac:dyDescent="0.25">
      <c r="A52" s="38">
        <v>32</v>
      </c>
      <c r="B52" s="36" t="s">
        <v>42</v>
      </c>
      <c r="C52" s="43" t="s">
        <v>27</v>
      </c>
      <c r="D52" s="43"/>
      <c r="E52" s="17"/>
      <c r="F52" s="17"/>
      <c r="G52" s="17"/>
      <c r="H52" s="17"/>
      <c r="I52" s="17"/>
      <c r="J52" s="17"/>
      <c r="K52" s="17" t="s">
        <v>27</v>
      </c>
      <c r="L52" s="62">
        <f t="shared" ref="L52:L53" si="13">COUNTA(E52:K52)</f>
        <v>1</v>
      </c>
      <c r="M52" s="62" t="s">
        <v>239</v>
      </c>
      <c r="N52" s="38" t="s">
        <v>153</v>
      </c>
      <c r="O52" s="106">
        <v>0.4861111111111111</v>
      </c>
      <c r="P52" s="92" t="s">
        <v>210</v>
      </c>
      <c r="Q52" s="61" t="s">
        <v>66</v>
      </c>
      <c r="R52" s="61" t="s">
        <v>220</v>
      </c>
      <c r="S52" s="117" t="s">
        <v>223</v>
      </c>
      <c r="T52" s="30" t="s">
        <v>238</v>
      </c>
      <c r="U52" s="106"/>
      <c r="V52" s="75"/>
      <c r="W52" s="108"/>
      <c r="X52" s="109"/>
      <c r="Y52" s="19"/>
      <c r="Z52" s="20"/>
      <c r="AA52" s="25" t="str">
        <f t="shared" si="1"/>
        <v xml:space="preserve">GC </v>
      </c>
      <c r="AB52" s="72">
        <v>0.65625</v>
      </c>
      <c r="AC52" s="73">
        <v>0.66319444444444442</v>
      </c>
      <c r="AD52" s="68">
        <v>6.9444444444444198E-3</v>
      </c>
      <c r="AE52" s="49"/>
      <c r="AF52" s="50" t="s">
        <v>0</v>
      </c>
      <c r="AG52" s="21"/>
      <c r="AH52" s="22"/>
      <c r="AI52" s="23"/>
      <c r="AJ52" s="24"/>
      <c r="AK52" s="25"/>
      <c r="AL52" s="25"/>
      <c r="AM52" s="27"/>
      <c r="AN52" s="28"/>
      <c r="AO52" s="29"/>
      <c r="AP52" s="94" t="s">
        <v>158</v>
      </c>
      <c r="AQ52" s="29"/>
      <c r="AR52" s="18" t="s">
        <v>130</v>
      </c>
      <c r="AS52" s="18" t="s">
        <v>114</v>
      </c>
    </row>
    <row r="53" spans="1:45" s="30" customFormat="1" ht="78.75" customHeight="1" thickBot="1" x14ac:dyDescent="0.25">
      <c r="A53" s="38">
        <v>33</v>
      </c>
      <c r="B53" s="36" t="s">
        <v>42</v>
      </c>
      <c r="C53" s="43" t="s">
        <v>27</v>
      </c>
      <c r="D53" s="43"/>
      <c r="E53" s="77" t="s">
        <v>27</v>
      </c>
      <c r="F53" s="77" t="s">
        <v>27</v>
      </c>
      <c r="G53" s="77" t="s">
        <v>27</v>
      </c>
      <c r="H53" s="77" t="s">
        <v>27</v>
      </c>
      <c r="I53" s="77" t="s">
        <v>27</v>
      </c>
      <c r="J53" s="77" t="s">
        <v>27</v>
      </c>
      <c r="K53" s="77" t="s">
        <v>27</v>
      </c>
      <c r="L53" s="62">
        <f t="shared" si="13"/>
        <v>7</v>
      </c>
      <c r="M53" s="62" t="s">
        <v>239</v>
      </c>
      <c r="N53" s="38" t="s">
        <v>152</v>
      </c>
      <c r="O53" s="106">
        <v>0.48958333333333331</v>
      </c>
      <c r="P53" s="93" t="s">
        <v>69</v>
      </c>
      <c r="Q53" s="61" t="s">
        <v>66</v>
      </c>
      <c r="R53" s="48" t="s">
        <v>69</v>
      </c>
      <c r="S53" s="102" t="s">
        <v>194</v>
      </c>
      <c r="T53" s="30" t="s">
        <v>238</v>
      </c>
      <c r="U53" s="106"/>
      <c r="V53" s="75"/>
      <c r="W53" s="108"/>
      <c r="X53" s="109"/>
      <c r="Y53" s="19"/>
      <c r="Z53" s="20"/>
      <c r="AA53" s="25" t="str">
        <f t="shared" si="1"/>
        <v xml:space="preserve">GC </v>
      </c>
      <c r="AB53" s="72">
        <v>0.3125</v>
      </c>
      <c r="AC53" s="74">
        <v>0.3298611111111111</v>
      </c>
      <c r="AD53" s="68">
        <v>1.7361111111111105E-2</v>
      </c>
      <c r="AE53" s="49"/>
      <c r="AF53" s="50" t="s">
        <v>122</v>
      </c>
      <c r="AG53" s="21"/>
      <c r="AH53" s="22"/>
      <c r="AI53" s="23"/>
      <c r="AJ53" s="24"/>
      <c r="AK53" s="25"/>
      <c r="AL53" s="26"/>
      <c r="AM53" s="27"/>
      <c r="AN53" s="28"/>
      <c r="AO53" s="29"/>
      <c r="AP53" s="94" t="s">
        <v>83</v>
      </c>
      <c r="AQ53" s="29"/>
      <c r="AR53" s="18" t="s">
        <v>109</v>
      </c>
      <c r="AS53" s="18" t="s">
        <v>114</v>
      </c>
    </row>
    <row r="54" spans="1:45" s="30" customFormat="1" ht="78.75" thickBot="1" x14ac:dyDescent="0.25">
      <c r="A54" s="38">
        <v>34</v>
      </c>
      <c r="B54" s="36" t="s">
        <v>42</v>
      </c>
      <c r="C54" s="43" t="s">
        <v>27</v>
      </c>
      <c r="D54" s="43"/>
      <c r="E54" s="17"/>
      <c r="F54" s="17"/>
      <c r="G54" s="17"/>
      <c r="H54" s="17"/>
      <c r="I54" s="17"/>
      <c r="J54" s="77" t="s">
        <v>27</v>
      </c>
      <c r="K54" s="17"/>
      <c r="L54" s="62">
        <f t="shared" si="4"/>
        <v>1</v>
      </c>
      <c r="M54" s="62" t="s">
        <v>239</v>
      </c>
      <c r="N54" s="38" t="s">
        <v>153</v>
      </c>
      <c r="O54" s="106">
        <v>0.49305555555555558</v>
      </c>
      <c r="P54" s="92" t="s">
        <v>209</v>
      </c>
      <c r="Q54" s="61" t="s">
        <v>66</v>
      </c>
      <c r="R54" s="61" t="s">
        <v>207</v>
      </c>
      <c r="S54" s="117" t="s">
        <v>215</v>
      </c>
      <c r="T54" s="118" t="s">
        <v>237</v>
      </c>
      <c r="U54" s="106"/>
      <c r="V54" s="75"/>
      <c r="W54" s="108"/>
      <c r="X54" s="109"/>
      <c r="Y54" s="19"/>
      <c r="Z54" s="20"/>
      <c r="AA54" s="25" t="str">
        <f t="shared" si="1"/>
        <v xml:space="preserve">GC </v>
      </c>
      <c r="AB54" s="72">
        <v>0.65625</v>
      </c>
      <c r="AC54" s="73">
        <v>0.66319444444444442</v>
      </c>
      <c r="AD54" s="68">
        <v>6.9444444444444198E-3</v>
      </c>
      <c r="AE54" s="49"/>
      <c r="AF54" s="50" t="s">
        <v>0</v>
      </c>
      <c r="AG54" s="21"/>
      <c r="AH54" s="22"/>
      <c r="AI54" s="23"/>
      <c r="AJ54" s="24"/>
      <c r="AK54" s="25"/>
      <c r="AL54" s="25"/>
      <c r="AM54" s="27"/>
      <c r="AN54" s="28"/>
      <c r="AO54" s="29"/>
      <c r="AP54" s="94" t="s">
        <v>158</v>
      </c>
      <c r="AQ54" s="29"/>
      <c r="AR54" s="18" t="s">
        <v>130</v>
      </c>
      <c r="AS54" s="18" t="s">
        <v>114</v>
      </c>
    </row>
    <row r="55" spans="1:45" s="30" customFormat="1" ht="66" thickBot="1" x14ac:dyDescent="0.25">
      <c r="A55" s="38">
        <v>35</v>
      </c>
      <c r="B55" s="36" t="s">
        <v>42</v>
      </c>
      <c r="C55" s="43" t="s">
        <v>27</v>
      </c>
      <c r="D55" s="43"/>
      <c r="E55" s="17"/>
      <c r="F55" s="17"/>
      <c r="G55" s="17"/>
      <c r="H55" s="17"/>
      <c r="I55" s="17"/>
      <c r="J55" s="77" t="s">
        <v>27</v>
      </c>
      <c r="K55" s="17"/>
      <c r="L55" s="62">
        <f t="shared" ref="L55:L56" si="14">COUNTA(E55:K55)</f>
        <v>1</v>
      </c>
      <c r="M55" s="62" t="s">
        <v>239</v>
      </c>
      <c r="N55" s="38" t="s">
        <v>153</v>
      </c>
      <c r="O55" s="106">
        <v>0.49305555555555558</v>
      </c>
      <c r="P55" s="92" t="s">
        <v>222</v>
      </c>
      <c r="Q55" s="61" t="s">
        <v>66</v>
      </c>
      <c r="R55" s="61" t="s">
        <v>221</v>
      </c>
      <c r="S55" s="117" t="s">
        <v>230</v>
      </c>
      <c r="T55" s="30" t="s">
        <v>238</v>
      </c>
      <c r="U55" s="106"/>
      <c r="V55" s="75"/>
      <c r="W55" s="108"/>
      <c r="X55" s="109"/>
      <c r="Y55" s="19"/>
      <c r="Z55" s="20"/>
      <c r="AA55" s="25" t="str">
        <f t="shared" si="1"/>
        <v xml:space="preserve">GC </v>
      </c>
      <c r="AB55" s="72">
        <v>0.65625</v>
      </c>
      <c r="AC55" s="73">
        <v>0.66319444444444442</v>
      </c>
      <c r="AD55" s="68">
        <v>6.9444444444444198E-3</v>
      </c>
      <c r="AE55" s="49"/>
      <c r="AF55" s="50" t="s">
        <v>0</v>
      </c>
      <c r="AG55" s="21"/>
      <c r="AH55" s="22"/>
      <c r="AI55" s="23"/>
      <c r="AJ55" s="24"/>
      <c r="AK55" s="25"/>
      <c r="AL55" s="25"/>
      <c r="AM55" s="27"/>
      <c r="AN55" s="28"/>
      <c r="AO55" s="29"/>
      <c r="AP55" s="94" t="s">
        <v>158</v>
      </c>
      <c r="AQ55" s="29"/>
      <c r="AR55" s="18" t="s">
        <v>130</v>
      </c>
      <c r="AS55" s="18" t="s">
        <v>114</v>
      </c>
    </row>
    <row r="56" spans="1:45" s="30" customFormat="1" ht="78.75" thickBot="1" x14ac:dyDescent="0.25">
      <c r="A56" s="38">
        <v>36</v>
      </c>
      <c r="B56" s="36" t="s">
        <v>42</v>
      </c>
      <c r="C56" s="43" t="s">
        <v>27</v>
      </c>
      <c r="D56" s="43"/>
      <c r="E56" s="17"/>
      <c r="F56" s="17"/>
      <c r="G56" s="17"/>
      <c r="H56" s="17"/>
      <c r="I56" s="17"/>
      <c r="J56" s="17"/>
      <c r="K56" s="17" t="s">
        <v>27</v>
      </c>
      <c r="L56" s="62">
        <f t="shared" si="14"/>
        <v>1</v>
      </c>
      <c r="M56" s="62" t="s">
        <v>239</v>
      </c>
      <c r="N56" s="38" t="s">
        <v>153</v>
      </c>
      <c r="O56" s="106">
        <v>0.49305555555555558</v>
      </c>
      <c r="P56" s="92" t="s">
        <v>209</v>
      </c>
      <c r="Q56" s="61" t="s">
        <v>66</v>
      </c>
      <c r="R56" s="61" t="s">
        <v>208</v>
      </c>
      <c r="S56" s="117" t="s">
        <v>219</v>
      </c>
      <c r="T56" s="118" t="s">
        <v>237</v>
      </c>
      <c r="U56" s="106"/>
      <c r="V56" s="75"/>
      <c r="W56" s="108"/>
      <c r="X56" s="109"/>
      <c r="Y56" s="19"/>
      <c r="Z56" s="20"/>
      <c r="AA56" s="25" t="str">
        <f t="shared" si="1"/>
        <v xml:space="preserve">GC </v>
      </c>
      <c r="AB56" s="72">
        <v>0.65625</v>
      </c>
      <c r="AC56" s="73">
        <v>0.66319444444444442</v>
      </c>
      <c r="AD56" s="68">
        <v>6.9444444444444198E-3</v>
      </c>
      <c r="AE56" s="49"/>
      <c r="AF56" s="50" t="s">
        <v>0</v>
      </c>
      <c r="AG56" s="21"/>
      <c r="AH56" s="22"/>
      <c r="AI56" s="23"/>
      <c r="AJ56" s="24"/>
      <c r="AK56" s="25"/>
      <c r="AL56" s="25"/>
      <c r="AM56" s="27"/>
      <c r="AN56" s="28"/>
      <c r="AO56" s="29"/>
      <c r="AP56" s="94" t="s">
        <v>158</v>
      </c>
      <c r="AQ56" s="29"/>
      <c r="AR56" s="18" t="s">
        <v>130</v>
      </c>
      <c r="AS56" s="18" t="s">
        <v>114</v>
      </c>
    </row>
    <row r="57" spans="1:45" s="30" customFormat="1" ht="66" thickBot="1" x14ac:dyDescent="0.25">
      <c r="A57" s="38">
        <v>37</v>
      </c>
      <c r="B57" s="36" t="s">
        <v>42</v>
      </c>
      <c r="C57" s="43" t="s">
        <v>27</v>
      </c>
      <c r="D57" s="43"/>
      <c r="E57" s="17"/>
      <c r="F57" s="17"/>
      <c r="G57" s="17"/>
      <c r="H57" s="17"/>
      <c r="I57" s="17"/>
      <c r="J57" s="17"/>
      <c r="K57" s="17" t="s">
        <v>27</v>
      </c>
      <c r="L57" s="62">
        <f t="shared" ref="L57" si="15">COUNTA(E57:K57)</f>
        <v>1</v>
      </c>
      <c r="M57" s="62" t="s">
        <v>239</v>
      </c>
      <c r="N57" s="38" t="s">
        <v>153</v>
      </c>
      <c r="O57" s="106">
        <v>0.49305555555555558</v>
      </c>
      <c r="P57" s="92" t="s">
        <v>222</v>
      </c>
      <c r="Q57" s="61" t="s">
        <v>66</v>
      </c>
      <c r="R57" s="61" t="s">
        <v>220</v>
      </c>
      <c r="S57" s="117" t="s">
        <v>224</v>
      </c>
      <c r="T57" s="30" t="s">
        <v>238</v>
      </c>
      <c r="U57" s="106"/>
      <c r="V57" s="75"/>
      <c r="W57" s="108"/>
      <c r="X57" s="109"/>
      <c r="Y57" s="19"/>
      <c r="Z57" s="20"/>
      <c r="AA57" s="25" t="str">
        <f t="shared" si="1"/>
        <v xml:space="preserve">GC </v>
      </c>
      <c r="AB57" s="72">
        <v>0.65625</v>
      </c>
      <c r="AC57" s="73">
        <v>0.66319444444444442</v>
      </c>
      <c r="AD57" s="68">
        <v>6.9444444444444198E-3</v>
      </c>
      <c r="AE57" s="49"/>
      <c r="AF57" s="50" t="s">
        <v>0</v>
      </c>
      <c r="AG57" s="21"/>
      <c r="AH57" s="22"/>
      <c r="AI57" s="23"/>
      <c r="AJ57" s="24"/>
      <c r="AK57" s="25"/>
      <c r="AL57" s="25"/>
      <c r="AM57" s="27"/>
      <c r="AN57" s="28"/>
      <c r="AO57" s="29"/>
      <c r="AP57" s="94" t="s">
        <v>158</v>
      </c>
      <c r="AQ57" s="29"/>
      <c r="AR57" s="18" t="s">
        <v>130</v>
      </c>
      <c r="AS57" s="18" t="s">
        <v>114</v>
      </c>
    </row>
    <row r="58" spans="1:45" s="30" customFormat="1" ht="78.75" thickBot="1" x14ac:dyDescent="0.25">
      <c r="A58" s="38">
        <v>38</v>
      </c>
      <c r="B58" s="36" t="s">
        <v>43</v>
      </c>
      <c r="C58" s="43" t="s">
        <v>27</v>
      </c>
      <c r="D58" s="43"/>
      <c r="E58" s="17"/>
      <c r="F58" s="17"/>
      <c r="G58" s="17"/>
      <c r="H58" s="17"/>
      <c r="I58" s="17"/>
      <c r="J58" s="17"/>
      <c r="K58" s="17" t="s">
        <v>27</v>
      </c>
      <c r="L58" s="62">
        <f t="shared" si="0"/>
        <v>1</v>
      </c>
      <c r="M58" s="62" t="s">
        <v>239</v>
      </c>
      <c r="N58" s="38" t="s">
        <v>153</v>
      </c>
      <c r="O58" s="106">
        <v>0.5</v>
      </c>
      <c r="P58" s="92" t="s">
        <v>74</v>
      </c>
      <c r="Q58" s="61" t="s">
        <v>66</v>
      </c>
      <c r="R58" s="61" t="s">
        <v>97</v>
      </c>
      <c r="S58" s="117" t="s">
        <v>204</v>
      </c>
      <c r="T58" s="118" t="s">
        <v>237</v>
      </c>
      <c r="U58" s="106"/>
      <c r="V58" s="75"/>
      <c r="W58" s="108"/>
      <c r="X58" s="109"/>
      <c r="Y58" s="19"/>
      <c r="Z58" s="20"/>
      <c r="AA58" s="25" t="str">
        <f t="shared" si="1"/>
        <v xml:space="preserve">GC </v>
      </c>
      <c r="AB58" s="72">
        <v>0.66666666666666663</v>
      </c>
      <c r="AC58" s="73">
        <v>0.6694444444444444</v>
      </c>
      <c r="AD58" s="68">
        <v>2.7777777777777679E-3</v>
      </c>
      <c r="AE58" s="49"/>
      <c r="AF58" s="50" t="s">
        <v>120</v>
      </c>
      <c r="AG58" s="21"/>
      <c r="AH58" s="22"/>
      <c r="AI58" s="23"/>
      <c r="AJ58" s="24"/>
      <c r="AK58" s="37"/>
      <c r="AL58" s="26"/>
      <c r="AM58" s="27"/>
      <c r="AN58" s="28"/>
      <c r="AO58" s="29"/>
      <c r="AP58" s="94" t="s">
        <v>156</v>
      </c>
      <c r="AQ58" s="29"/>
      <c r="AR58" s="18">
        <f>COUNTIF(E58:K58,$K$1)</f>
        <v>0</v>
      </c>
      <c r="AS58" s="18" t="s">
        <v>114</v>
      </c>
    </row>
    <row r="59" spans="1:45" s="30" customFormat="1" ht="78.75" customHeight="1" thickBot="1" x14ac:dyDescent="0.25">
      <c r="A59" s="38">
        <v>39</v>
      </c>
      <c r="B59" s="36" t="s">
        <v>42</v>
      </c>
      <c r="C59" s="43" t="s">
        <v>27</v>
      </c>
      <c r="D59" s="43"/>
      <c r="E59" s="17" t="s">
        <v>27</v>
      </c>
      <c r="F59" s="17" t="s">
        <v>27</v>
      </c>
      <c r="G59" s="17" t="s">
        <v>27</v>
      </c>
      <c r="H59" s="17" t="s">
        <v>27</v>
      </c>
      <c r="I59" s="17" t="s">
        <v>27</v>
      </c>
      <c r="J59" s="77" t="s">
        <v>27</v>
      </c>
      <c r="K59" s="77" t="s">
        <v>27</v>
      </c>
      <c r="L59" s="62">
        <f t="shared" si="0"/>
        <v>7</v>
      </c>
      <c r="M59" s="62" t="s">
        <v>239</v>
      </c>
      <c r="N59" s="38" t="s">
        <v>153</v>
      </c>
      <c r="O59" s="106">
        <v>0.50347222222222221</v>
      </c>
      <c r="P59" s="61" t="s">
        <v>77</v>
      </c>
      <c r="Q59" s="61" t="s">
        <v>66</v>
      </c>
      <c r="R59" s="61" t="s">
        <v>128</v>
      </c>
      <c r="S59" s="101" t="s">
        <v>206</v>
      </c>
      <c r="T59" s="30" t="s">
        <v>238</v>
      </c>
      <c r="U59" s="106"/>
      <c r="V59" s="75"/>
      <c r="W59" s="108"/>
      <c r="X59" s="109"/>
      <c r="Y59" s="19"/>
      <c r="Z59" s="20"/>
      <c r="AA59" s="25" t="str">
        <f t="shared" si="1"/>
        <v xml:space="preserve">GC </v>
      </c>
      <c r="AB59" s="72"/>
      <c r="AC59" s="73"/>
      <c r="AD59" s="68"/>
      <c r="AE59" s="49"/>
      <c r="AF59" s="50" t="s">
        <v>123</v>
      </c>
      <c r="AG59" s="21"/>
      <c r="AH59" s="22"/>
      <c r="AI59" s="23"/>
      <c r="AJ59" s="24"/>
      <c r="AK59" s="37"/>
      <c r="AL59" s="26"/>
      <c r="AM59" s="39"/>
      <c r="AN59" s="28"/>
      <c r="AO59" s="29"/>
      <c r="AP59" s="94" t="s">
        <v>156</v>
      </c>
      <c r="AQ59" s="29"/>
      <c r="AR59" s="18" t="s">
        <v>111</v>
      </c>
      <c r="AS59" s="18" t="s">
        <v>114</v>
      </c>
    </row>
    <row r="60" spans="1:45" s="30" customFormat="1" ht="78.75" customHeight="1" thickBot="1" x14ac:dyDescent="0.25">
      <c r="A60" s="38">
        <v>40</v>
      </c>
      <c r="B60" s="36" t="s">
        <v>42</v>
      </c>
      <c r="C60" s="43" t="s">
        <v>27</v>
      </c>
      <c r="D60" s="43"/>
      <c r="E60" s="17" t="s">
        <v>27</v>
      </c>
      <c r="F60" s="17" t="s">
        <v>27</v>
      </c>
      <c r="G60" s="17" t="s">
        <v>27</v>
      </c>
      <c r="H60" s="17" t="s">
        <v>27</v>
      </c>
      <c r="I60" s="17" t="s">
        <v>27</v>
      </c>
      <c r="J60" s="17" t="s">
        <v>27</v>
      </c>
      <c r="K60" s="17" t="s">
        <v>27</v>
      </c>
      <c r="L60" s="62">
        <f t="shared" si="0"/>
        <v>7</v>
      </c>
      <c r="M60" s="62" t="s">
        <v>239</v>
      </c>
      <c r="N60" s="38" t="s">
        <v>152</v>
      </c>
      <c r="O60" s="106">
        <v>0.51041666666666663</v>
      </c>
      <c r="P60" s="61" t="s">
        <v>63</v>
      </c>
      <c r="Q60" s="61" t="s">
        <v>66</v>
      </c>
      <c r="R60" s="61" t="s">
        <v>62</v>
      </c>
      <c r="S60" s="101" t="s">
        <v>179</v>
      </c>
      <c r="T60" s="30" t="s">
        <v>238</v>
      </c>
      <c r="U60" s="106"/>
      <c r="V60" s="75"/>
      <c r="W60" s="108"/>
      <c r="X60" s="109"/>
      <c r="Y60" s="19"/>
      <c r="Z60" s="20"/>
      <c r="AA60" s="25" t="str">
        <f t="shared" si="1"/>
        <v xml:space="preserve">GC </v>
      </c>
      <c r="AB60" s="72">
        <v>0.58333333333333337</v>
      </c>
      <c r="AC60" s="73">
        <v>0.58611111111111114</v>
      </c>
      <c r="AD60" s="68">
        <v>2.7777777777777679E-3</v>
      </c>
      <c r="AE60" s="49"/>
      <c r="AF60" s="50" t="s">
        <v>120</v>
      </c>
      <c r="AG60" s="21"/>
      <c r="AH60" s="22"/>
      <c r="AI60" s="23"/>
      <c r="AJ60" s="24"/>
      <c r="AK60" s="37"/>
      <c r="AL60" s="26"/>
      <c r="AM60" s="27"/>
      <c r="AN60" s="28"/>
      <c r="AO60" s="29"/>
      <c r="AP60" s="94" t="s">
        <v>28</v>
      </c>
      <c r="AQ60" s="40"/>
      <c r="AR60" s="18" t="s">
        <v>111</v>
      </c>
      <c r="AS60" s="18" t="s">
        <v>114</v>
      </c>
    </row>
    <row r="61" spans="1:45" s="30" customFormat="1" ht="78.75" customHeight="1" thickBot="1" x14ac:dyDescent="0.25">
      <c r="A61" s="38">
        <v>41</v>
      </c>
      <c r="B61" s="36" t="s">
        <v>42</v>
      </c>
      <c r="C61" s="43" t="s">
        <v>27</v>
      </c>
      <c r="D61" s="43"/>
      <c r="E61" s="17"/>
      <c r="F61" s="17"/>
      <c r="G61" s="17"/>
      <c r="H61" s="17"/>
      <c r="I61" s="17"/>
      <c r="J61" s="17" t="s">
        <v>27</v>
      </c>
      <c r="K61" s="17"/>
      <c r="L61" s="62">
        <f t="shared" si="0"/>
        <v>1</v>
      </c>
      <c r="M61" s="62" t="s">
        <v>239</v>
      </c>
      <c r="N61" s="38" t="s">
        <v>153</v>
      </c>
      <c r="O61" s="106">
        <v>0.51041666666666663</v>
      </c>
      <c r="P61" s="93" t="s">
        <v>73</v>
      </c>
      <c r="Q61" s="61" t="s">
        <v>66</v>
      </c>
      <c r="R61" s="48" t="s">
        <v>99</v>
      </c>
      <c r="S61" s="103" t="s">
        <v>146</v>
      </c>
      <c r="T61" s="118" t="s">
        <v>237</v>
      </c>
      <c r="U61" s="106"/>
      <c r="V61" s="75"/>
      <c r="W61" s="108"/>
      <c r="X61" s="109"/>
      <c r="Y61" s="19"/>
      <c r="Z61" s="20"/>
      <c r="AA61" s="25" t="str">
        <f t="shared" si="1"/>
        <v xml:space="preserve">GC </v>
      </c>
      <c r="AB61" s="72">
        <v>0.59027777777777779</v>
      </c>
      <c r="AC61" s="73">
        <v>0.59375</v>
      </c>
      <c r="AD61" s="68">
        <v>3.4722222222222099E-3</v>
      </c>
      <c r="AE61" s="49"/>
      <c r="AF61" s="50" t="s">
        <v>123</v>
      </c>
      <c r="AG61" s="21"/>
      <c r="AH61" s="22"/>
      <c r="AI61" s="23"/>
      <c r="AJ61" s="24"/>
      <c r="AK61" s="25"/>
      <c r="AL61" s="25"/>
      <c r="AM61" s="27"/>
      <c r="AN61" s="28"/>
      <c r="AO61" s="29"/>
      <c r="AP61" s="94" t="s">
        <v>156</v>
      </c>
      <c r="AQ61" s="29"/>
      <c r="AR61" s="18">
        <f>COUNTIF(E61:K61,$K$1)</f>
        <v>0</v>
      </c>
      <c r="AS61" s="18" t="s">
        <v>114</v>
      </c>
    </row>
    <row r="62" spans="1:45" s="30" customFormat="1" ht="98.25" thickBot="1" x14ac:dyDescent="0.25">
      <c r="A62" s="38">
        <v>42</v>
      </c>
      <c r="B62" s="36" t="s">
        <v>42</v>
      </c>
      <c r="C62" s="43" t="s">
        <v>27</v>
      </c>
      <c r="D62" s="43"/>
      <c r="E62" s="17" t="s">
        <v>27</v>
      </c>
      <c r="F62" s="17" t="s">
        <v>27</v>
      </c>
      <c r="G62" s="17" t="s">
        <v>27</v>
      </c>
      <c r="H62" s="17" t="s">
        <v>27</v>
      </c>
      <c r="I62" s="17" t="s">
        <v>27</v>
      </c>
      <c r="J62" s="17" t="s">
        <v>27</v>
      </c>
      <c r="K62" s="17" t="s">
        <v>27</v>
      </c>
      <c r="L62" s="62">
        <f t="shared" si="0"/>
        <v>7</v>
      </c>
      <c r="M62" s="62" t="s">
        <v>239</v>
      </c>
      <c r="N62" s="38" t="s">
        <v>152</v>
      </c>
      <c r="O62" s="106">
        <v>0.52083333333333337</v>
      </c>
      <c r="P62" s="93" t="s">
        <v>69</v>
      </c>
      <c r="Q62" s="61" t="s">
        <v>66</v>
      </c>
      <c r="R62" s="48" t="s">
        <v>69</v>
      </c>
      <c r="S62" s="102" t="s">
        <v>195</v>
      </c>
      <c r="T62" s="30" t="s">
        <v>238</v>
      </c>
      <c r="U62" s="106"/>
      <c r="V62" s="75"/>
      <c r="W62" s="108"/>
      <c r="X62" s="109"/>
      <c r="Y62" s="19"/>
      <c r="Z62" s="20"/>
      <c r="AA62" s="25" t="str">
        <f t="shared" si="1"/>
        <v xml:space="preserve">GC </v>
      </c>
      <c r="AB62" s="72">
        <v>0.3125</v>
      </c>
      <c r="AC62" s="74">
        <v>0.3298611111111111</v>
      </c>
      <c r="AD62" s="68">
        <v>1.7361111111111105E-2</v>
      </c>
      <c r="AE62" s="49"/>
      <c r="AF62" s="50" t="s">
        <v>120</v>
      </c>
      <c r="AG62" s="21"/>
      <c r="AH62" s="22"/>
      <c r="AI62" s="23"/>
      <c r="AJ62" s="24"/>
      <c r="AK62" s="37"/>
      <c r="AL62" s="26"/>
      <c r="AM62" s="27"/>
      <c r="AN62" s="28"/>
      <c r="AO62" s="29"/>
      <c r="AP62" s="94" t="s">
        <v>28</v>
      </c>
      <c r="AQ62" s="29"/>
      <c r="AR62" s="18" t="s">
        <v>111</v>
      </c>
      <c r="AS62" s="18" t="s">
        <v>114</v>
      </c>
    </row>
    <row r="63" spans="1:45" s="30" customFormat="1" ht="78.75" customHeight="1" thickBot="1" x14ac:dyDescent="0.25">
      <c r="A63" s="38">
        <v>43</v>
      </c>
      <c r="B63" s="36" t="s">
        <v>42</v>
      </c>
      <c r="C63" s="43" t="s">
        <v>27</v>
      </c>
      <c r="D63" s="43"/>
      <c r="E63" s="17"/>
      <c r="F63" s="17"/>
      <c r="G63" s="17"/>
      <c r="H63" s="17"/>
      <c r="I63" s="17"/>
      <c r="J63" s="17"/>
      <c r="K63" s="17" t="s">
        <v>27</v>
      </c>
      <c r="L63" s="62">
        <f t="shared" si="0"/>
        <v>1</v>
      </c>
      <c r="M63" s="62" t="s">
        <v>239</v>
      </c>
      <c r="N63" s="38" t="s">
        <v>153</v>
      </c>
      <c r="O63" s="106">
        <v>0.54166666666666663</v>
      </c>
      <c r="P63" s="93" t="s">
        <v>79</v>
      </c>
      <c r="Q63" s="61" t="s">
        <v>66</v>
      </c>
      <c r="R63" s="44" t="s">
        <v>106</v>
      </c>
      <c r="S63" s="103" t="s">
        <v>166</v>
      </c>
      <c r="T63" s="118" t="s">
        <v>237</v>
      </c>
      <c r="U63" s="106"/>
      <c r="V63" s="75"/>
      <c r="W63" s="108"/>
      <c r="X63" s="109"/>
      <c r="Y63" s="19"/>
      <c r="Z63" s="20"/>
      <c r="AA63" s="25" t="str">
        <f t="shared" si="1"/>
        <v xml:space="preserve">GC </v>
      </c>
      <c r="AB63" s="72">
        <v>0.64583333333333337</v>
      </c>
      <c r="AC63" s="73">
        <v>0.64861111111111114</v>
      </c>
      <c r="AD63" s="68">
        <v>2.7777777777777679E-3</v>
      </c>
      <c r="AE63" s="49"/>
      <c r="AF63" s="50" t="s">
        <v>120</v>
      </c>
      <c r="AG63" s="21"/>
      <c r="AH63" s="22"/>
      <c r="AI63" s="23"/>
      <c r="AJ63" s="24"/>
      <c r="AK63" s="25"/>
      <c r="AL63" s="25"/>
      <c r="AM63" s="27"/>
      <c r="AN63" s="28"/>
      <c r="AO63" s="29"/>
      <c r="AP63" s="94" t="s">
        <v>156</v>
      </c>
      <c r="AQ63" s="29"/>
      <c r="AR63" s="18">
        <f>COUNTIF(E63:K63,$K$1)</f>
        <v>0</v>
      </c>
      <c r="AS63" s="18" t="s">
        <v>114</v>
      </c>
    </row>
    <row r="64" spans="1:45" s="30" customFormat="1" ht="78.75" customHeight="1" thickBot="1" x14ac:dyDescent="0.25">
      <c r="A64" s="38">
        <v>44</v>
      </c>
      <c r="B64" s="36" t="s">
        <v>43</v>
      </c>
      <c r="C64" s="43" t="s">
        <v>27</v>
      </c>
      <c r="D64" s="43"/>
      <c r="E64" s="17"/>
      <c r="F64" s="17"/>
      <c r="G64" s="17"/>
      <c r="H64" s="17"/>
      <c r="I64" s="17"/>
      <c r="J64" s="17"/>
      <c r="K64" s="17" t="s">
        <v>27</v>
      </c>
      <c r="L64" s="62">
        <f t="shared" si="0"/>
        <v>1</v>
      </c>
      <c r="M64" s="62" t="s">
        <v>239</v>
      </c>
      <c r="N64" s="38" t="s">
        <v>153</v>
      </c>
      <c r="O64" s="106">
        <v>0.5625</v>
      </c>
      <c r="P64" s="93" t="s">
        <v>79</v>
      </c>
      <c r="Q64" s="61" t="s">
        <v>66</v>
      </c>
      <c r="R64" s="48" t="s">
        <v>101</v>
      </c>
      <c r="S64" s="103" t="s">
        <v>196</v>
      </c>
      <c r="T64" s="118" t="s">
        <v>237</v>
      </c>
      <c r="U64" s="106"/>
      <c r="V64" s="75"/>
      <c r="W64" s="108"/>
      <c r="X64" s="109"/>
      <c r="Y64" s="19"/>
      <c r="Z64" s="20"/>
      <c r="AA64" s="25" t="str">
        <f t="shared" si="1"/>
        <v xml:space="preserve">GC </v>
      </c>
      <c r="AB64" s="72">
        <v>0.63541666666666663</v>
      </c>
      <c r="AC64" s="73">
        <v>0.6381944444444444</v>
      </c>
      <c r="AD64" s="68">
        <v>2.7777777777777679E-3</v>
      </c>
      <c r="AE64" s="49"/>
      <c r="AF64" s="50" t="s">
        <v>0</v>
      </c>
      <c r="AG64" s="21"/>
      <c r="AH64" s="22"/>
      <c r="AI64" s="23"/>
      <c r="AJ64" s="24"/>
      <c r="AK64" s="25"/>
      <c r="AL64" s="26"/>
      <c r="AM64" s="27"/>
      <c r="AN64" s="28"/>
      <c r="AO64" s="29"/>
      <c r="AP64" s="94" t="s">
        <v>156</v>
      </c>
      <c r="AQ64" s="29"/>
      <c r="AR64" s="18" t="s">
        <v>111</v>
      </c>
      <c r="AS64" s="18" t="s">
        <v>114</v>
      </c>
    </row>
    <row r="65" spans="1:45" s="30" customFormat="1" ht="78.75" customHeight="1" thickBot="1" x14ac:dyDescent="0.25">
      <c r="A65" s="38">
        <v>45</v>
      </c>
      <c r="B65" s="36" t="s">
        <v>42</v>
      </c>
      <c r="C65" s="43" t="s">
        <v>27</v>
      </c>
      <c r="D65" s="43"/>
      <c r="E65" s="17"/>
      <c r="F65" s="17"/>
      <c r="G65" s="17"/>
      <c r="H65" s="17"/>
      <c r="I65" s="17"/>
      <c r="J65" s="17"/>
      <c r="K65" s="17" t="s">
        <v>27</v>
      </c>
      <c r="L65" s="62">
        <f t="shared" si="0"/>
        <v>1</v>
      </c>
      <c r="M65" s="62" t="s">
        <v>239</v>
      </c>
      <c r="N65" s="38" t="s">
        <v>153</v>
      </c>
      <c r="O65" s="106">
        <v>0.56597222222222221</v>
      </c>
      <c r="P65" s="93" t="s">
        <v>78</v>
      </c>
      <c r="Q65" s="61" t="s">
        <v>66</v>
      </c>
      <c r="R65" s="48" t="s">
        <v>107</v>
      </c>
      <c r="S65" s="103" t="s">
        <v>169</v>
      </c>
      <c r="T65" s="118" t="s">
        <v>237</v>
      </c>
      <c r="U65" s="106"/>
      <c r="V65" s="75"/>
      <c r="W65" s="108"/>
      <c r="X65" s="109"/>
      <c r="Y65" s="19"/>
      <c r="Z65" s="20"/>
      <c r="AA65" s="25" t="str">
        <f t="shared" si="1"/>
        <v xml:space="preserve">GC </v>
      </c>
      <c r="AB65" s="72">
        <v>0.56597222222222221</v>
      </c>
      <c r="AC65" s="73">
        <v>0.57291666666666663</v>
      </c>
      <c r="AD65" s="68">
        <v>6.9444444444444198E-3</v>
      </c>
      <c r="AE65" s="49"/>
      <c r="AF65" s="50" t="s">
        <v>120</v>
      </c>
      <c r="AG65" s="21" t="s">
        <v>45</v>
      </c>
      <c r="AH65" s="22" t="s">
        <v>55</v>
      </c>
      <c r="AI65" s="23"/>
      <c r="AJ65" s="24"/>
      <c r="AK65" s="25"/>
      <c r="AL65" s="26"/>
      <c r="AM65" s="27"/>
      <c r="AN65" s="28"/>
      <c r="AO65" s="29"/>
      <c r="AP65" s="94" t="s">
        <v>28</v>
      </c>
      <c r="AQ65" s="29"/>
      <c r="AR65" s="18" t="s">
        <v>111</v>
      </c>
      <c r="AS65" s="18" t="s">
        <v>114</v>
      </c>
    </row>
    <row r="66" spans="1:45" s="30" customFormat="1" ht="78.75" customHeight="1" thickBot="1" x14ac:dyDescent="0.25">
      <c r="A66" s="38">
        <v>46</v>
      </c>
      <c r="B66" s="36" t="s">
        <v>42</v>
      </c>
      <c r="C66" s="43" t="s">
        <v>27</v>
      </c>
      <c r="D66" s="43"/>
      <c r="E66" s="17"/>
      <c r="F66" s="17"/>
      <c r="G66" s="17"/>
      <c r="H66" s="17"/>
      <c r="I66" s="17"/>
      <c r="J66" s="17"/>
      <c r="K66" s="17" t="s">
        <v>27</v>
      </c>
      <c r="L66" s="62">
        <f t="shared" si="0"/>
        <v>1</v>
      </c>
      <c r="M66" s="62" t="s">
        <v>239</v>
      </c>
      <c r="N66" s="38" t="s">
        <v>153</v>
      </c>
      <c r="O66" s="106">
        <v>0.56944444444444442</v>
      </c>
      <c r="P66" s="93" t="s">
        <v>78</v>
      </c>
      <c r="Q66" s="61" t="s">
        <v>66</v>
      </c>
      <c r="R66" s="48" t="s">
        <v>101</v>
      </c>
      <c r="S66" s="103" t="s">
        <v>174</v>
      </c>
      <c r="T66" s="118" t="s">
        <v>237</v>
      </c>
      <c r="U66" s="106"/>
      <c r="V66" s="75"/>
      <c r="W66" s="108"/>
      <c r="X66" s="109"/>
      <c r="Y66" s="19"/>
      <c r="Z66" s="20"/>
      <c r="AA66" s="25" t="str">
        <f t="shared" si="1"/>
        <v xml:space="preserve">GC </v>
      </c>
      <c r="AB66" s="72">
        <v>0.5625</v>
      </c>
      <c r="AC66" s="73">
        <v>0.56944444444444442</v>
      </c>
      <c r="AD66" s="68">
        <v>6.9444444444444198E-3</v>
      </c>
      <c r="AE66" s="49"/>
      <c r="AF66" s="50" t="s">
        <v>120</v>
      </c>
      <c r="AG66" s="21" t="s">
        <v>45</v>
      </c>
      <c r="AH66" s="22" t="s">
        <v>55</v>
      </c>
      <c r="AI66" s="23" t="s">
        <v>65</v>
      </c>
      <c r="AJ66" s="24">
        <v>1</v>
      </c>
      <c r="AK66" s="37"/>
      <c r="AL66" s="26"/>
      <c r="AM66" s="27"/>
      <c r="AN66" s="28"/>
      <c r="AO66" s="29"/>
      <c r="AP66" s="94" t="s">
        <v>28</v>
      </c>
      <c r="AQ66" s="29"/>
      <c r="AR66" s="18" t="s">
        <v>111</v>
      </c>
      <c r="AS66" s="18" t="s">
        <v>114</v>
      </c>
    </row>
    <row r="67" spans="1:45" s="30" customFormat="1" ht="78.75" customHeight="1" thickBot="1" x14ac:dyDescent="0.25">
      <c r="A67" s="38">
        <v>47</v>
      </c>
      <c r="B67" s="36" t="s">
        <v>42</v>
      </c>
      <c r="C67" s="43" t="s">
        <v>27</v>
      </c>
      <c r="D67" s="43"/>
      <c r="E67" s="17"/>
      <c r="F67" s="17"/>
      <c r="G67" s="17"/>
      <c r="H67" s="17"/>
      <c r="I67" s="17"/>
      <c r="J67" s="17"/>
      <c r="K67" s="17" t="s">
        <v>27</v>
      </c>
      <c r="L67" s="62">
        <f t="shared" ref="L67:L87" si="16">COUNTA(E67:K67)</f>
        <v>1</v>
      </c>
      <c r="M67" s="62" t="s">
        <v>239</v>
      </c>
      <c r="N67" s="38" t="s">
        <v>153</v>
      </c>
      <c r="O67" s="106">
        <v>0.57291666666666663</v>
      </c>
      <c r="P67" s="93" t="s">
        <v>79</v>
      </c>
      <c r="Q67" s="61" t="s">
        <v>66</v>
      </c>
      <c r="R67" s="48" t="s">
        <v>107</v>
      </c>
      <c r="S67" s="103" t="s">
        <v>170</v>
      </c>
      <c r="T67" s="118" t="s">
        <v>237</v>
      </c>
      <c r="U67" s="106"/>
      <c r="V67" s="75"/>
      <c r="W67" s="108"/>
      <c r="X67" s="109"/>
      <c r="Y67" s="19"/>
      <c r="Z67" s="20"/>
      <c r="AA67" s="25" t="str">
        <f t="shared" si="1"/>
        <v xml:space="preserve">GC </v>
      </c>
      <c r="AB67" s="72">
        <v>0.57291666666666663</v>
      </c>
      <c r="AC67" s="73">
        <v>0.57638888888888895</v>
      </c>
      <c r="AD67" s="68">
        <v>3.4722222222223209E-3</v>
      </c>
      <c r="AE67" s="49"/>
      <c r="AF67" s="50" t="s">
        <v>120</v>
      </c>
      <c r="AG67" s="21"/>
      <c r="AH67" s="22"/>
      <c r="AI67" s="23"/>
      <c r="AJ67" s="24"/>
      <c r="AK67" s="25"/>
      <c r="AL67" s="25"/>
      <c r="AM67" s="27"/>
      <c r="AN67" s="28"/>
      <c r="AO67" s="29"/>
      <c r="AP67" s="94" t="s">
        <v>68</v>
      </c>
      <c r="AQ67" s="29"/>
      <c r="AR67" s="18">
        <f>COUNTIF(E67:K67,$K$1)</f>
        <v>0</v>
      </c>
      <c r="AS67" s="18" t="s">
        <v>114</v>
      </c>
    </row>
    <row r="68" spans="1:45" s="30" customFormat="1" ht="78.75" customHeight="1" thickBot="1" x14ac:dyDescent="0.25">
      <c r="A68" s="38">
        <v>48</v>
      </c>
      <c r="B68" s="36" t="s">
        <v>42</v>
      </c>
      <c r="C68" s="43" t="s">
        <v>27</v>
      </c>
      <c r="D68" s="43"/>
      <c r="E68" s="17" t="s">
        <v>27</v>
      </c>
      <c r="F68" s="17" t="s">
        <v>27</v>
      </c>
      <c r="G68" s="17" t="s">
        <v>27</v>
      </c>
      <c r="H68" s="17" t="s">
        <v>27</v>
      </c>
      <c r="I68" s="17" t="s">
        <v>27</v>
      </c>
      <c r="J68" s="17" t="s">
        <v>27</v>
      </c>
      <c r="K68" s="17" t="s">
        <v>27</v>
      </c>
      <c r="L68" s="62">
        <f t="shared" si="16"/>
        <v>7</v>
      </c>
      <c r="M68" s="62" t="s">
        <v>239</v>
      </c>
      <c r="N68" s="38" t="s">
        <v>152</v>
      </c>
      <c r="O68" s="106">
        <v>0.59375</v>
      </c>
      <c r="P68" s="61" t="s">
        <v>63</v>
      </c>
      <c r="Q68" s="61" t="s">
        <v>66</v>
      </c>
      <c r="R68" s="61" t="s">
        <v>62</v>
      </c>
      <c r="S68" s="101" t="s">
        <v>179</v>
      </c>
      <c r="T68" s="30" t="s">
        <v>238</v>
      </c>
      <c r="U68" s="106"/>
      <c r="V68" s="75"/>
      <c r="W68" s="108"/>
      <c r="X68" s="109"/>
      <c r="Y68" s="19"/>
      <c r="Z68" s="20"/>
      <c r="AA68" s="25" t="str">
        <f t="shared" si="1"/>
        <v xml:space="preserve">GC </v>
      </c>
      <c r="AB68" s="72">
        <v>0.66666666666666663</v>
      </c>
      <c r="AC68" s="73">
        <v>0.6694444444444444</v>
      </c>
      <c r="AD68" s="68">
        <v>2.7777777777777679E-3</v>
      </c>
      <c r="AE68" s="49"/>
      <c r="AF68" s="50" t="s">
        <v>120</v>
      </c>
      <c r="AG68" s="21"/>
      <c r="AH68" s="22"/>
      <c r="AI68" s="23"/>
      <c r="AJ68" s="24"/>
      <c r="AK68" s="37"/>
      <c r="AL68" s="26"/>
      <c r="AM68" s="27"/>
      <c r="AN68" s="28"/>
      <c r="AO68" s="29"/>
      <c r="AP68" s="94" t="s">
        <v>28</v>
      </c>
      <c r="AQ68" s="29"/>
      <c r="AR68" s="18" t="s">
        <v>111</v>
      </c>
      <c r="AS68" s="18" t="s">
        <v>114</v>
      </c>
    </row>
    <row r="69" spans="1:45" s="30" customFormat="1" ht="78.75" customHeight="1" thickBot="1" x14ac:dyDescent="0.25">
      <c r="A69" s="38">
        <v>49</v>
      </c>
      <c r="B69" s="36" t="s">
        <v>42</v>
      </c>
      <c r="C69" s="43" t="s">
        <v>27</v>
      </c>
      <c r="D69" s="43"/>
      <c r="E69" s="17"/>
      <c r="F69" s="17"/>
      <c r="G69" s="17"/>
      <c r="H69" s="17"/>
      <c r="I69" s="17"/>
      <c r="J69" s="17"/>
      <c r="K69" s="17" t="s">
        <v>27</v>
      </c>
      <c r="L69" s="62">
        <f t="shared" si="16"/>
        <v>1</v>
      </c>
      <c r="M69" s="62" t="s">
        <v>239</v>
      </c>
      <c r="N69" s="38" t="s">
        <v>153</v>
      </c>
      <c r="O69" s="106">
        <v>0.61111111111111105</v>
      </c>
      <c r="P69" s="93" t="s">
        <v>79</v>
      </c>
      <c r="Q69" s="61" t="s">
        <v>66</v>
      </c>
      <c r="R69" s="48" t="s">
        <v>101</v>
      </c>
      <c r="S69" s="103" t="s">
        <v>175</v>
      </c>
      <c r="T69" s="118" t="s">
        <v>237</v>
      </c>
      <c r="U69" s="106"/>
      <c r="V69" s="75"/>
      <c r="W69" s="108"/>
      <c r="X69" s="109"/>
      <c r="Y69" s="19"/>
      <c r="Z69" s="20"/>
      <c r="AA69" s="25" t="str">
        <f t="shared" si="1"/>
        <v xml:space="preserve">GC </v>
      </c>
      <c r="AB69" s="72">
        <v>0.56944444444444442</v>
      </c>
      <c r="AC69" s="73">
        <v>0.57291666666666663</v>
      </c>
      <c r="AD69" s="68">
        <v>3.4722222222222099E-3</v>
      </c>
      <c r="AE69" s="49"/>
      <c r="AF69" s="50" t="s">
        <v>120</v>
      </c>
      <c r="AG69" s="21"/>
      <c r="AH69" s="22"/>
      <c r="AI69" s="23"/>
      <c r="AJ69" s="24"/>
      <c r="AK69" s="25"/>
      <c r="AL69" s="25"/>
      <c r="AM69" s="27"/>
      <c r="AN69" s="28"/>
      <c r="AO69" s="29"/>
      <c r="AP69" s="94" t="s">
        <v>155</v>
      </c>
      <c r="AQ69" s="29"/>
      <c r="AR69" s="18" t="s">
        <v>130</v>
      </c>
      <c r="AS69" s="18" t="s">
        <v>114</v>
      </c>
    </row>
    <row r="70" spans="1:45" s="30" customFormat="1" ht="78.75" customHeight="1" thickBot="1" x14ac:dyDescent="0.25">
      <c r="A70" s="38">
        <v>50</v>
      </c>
      <c r="B70" s="36" t="s">
        <v>42</v>
      </c>
      <c r="C70" s="43" t="s">
        <v>27</v>
      </c>
      <c r="D70" s="43"/>
      <c r="E70" s="17"/>
      <c r="F70" s="17"/>
      <c r="G70" s="17"/>
      <c r="H70" s="17"/>
      <c r="I70" s="17"/>
      <c r="J70" s="17"/>
      <c r="K70" s="17" t="s">
        <v>27</v>
      </c>
      <c r="L70" s="62">
        <f t="shared" si="16"/>
        <v>1</v>
      </c>
      <c r="M70" s="62" t="s">
        <v>239</v>
      </c>
      <c r="N70" s="38" t="s">
        <v>153</v>
      </c>
      <c r="O70" s="106">
        <v>0.61458333333333337</v>
      </c>
      <c r="P70" s="93" t="s">
        <v>79</v>
      </c>
      <c r="Q70" s="61" t="s">
        <v>66</v>
      </c>
      <c r="R70" s="48" t="s">
        <v>107</v>
      </c>
      <c r="S70" s="103" t="s">
        <v>171</v>
      </c>
      <c r="T70" s="118" t="s">
        <v>237</v>
      </c>
      <c r="U70" s="106"/>
      <c r="V70" s="75"/>
      <c r="W70" s="108"/>
      <c r="X70" s="109"/>
      <c r="Y70" s="19"/>
      <c r="Z70" s="20"/>
      <c r="AA70" s="25" t="str">
        <f t="shared" si="1"/>
        <v xml:space="preserve">GC </v>
      </c>
      <c r="AB70" s="72">
        <v>0.61458333333333337</v>
      </c>
      <c r="AC70" s="73">
        <v>0.6166666666666667</v>
      </c>
      <c r="AD70" s="68">
        <v>2.0833333333333259E-3</v>
      </c>
      <c r="AE70" s="49"/>
      <c r="AF70" s="50" t="s">
        <v>0</v>
      </c>
      <c r="AG70" s="21"/>
      <c r="AH70" s="22"/>
      <c r="AI70" s="23"/>
      <c r="AJ70" s="24"/>
      <c r="AK70" s="37"/>
      <c r="AL70" s="26"/>
      <c r="AM70" s="27"/>
      <c r="AN70" s="28"/>
      <c r="AO70" s="29"/>
      <c r="AP70" s="94" t="s">
        <v>155</v>
      </c>
      <c r="AQ70" s="29"/>
      <c r="AR70" s="18" t="s">
        <v>130</v>
      </c>
      <c r="AS70" s="18"/>
    </row>
    <row r="71" spans="1:45" s="30" customFormat="1" ht="78.75" customHeight="1" thickBot="1" x14ac:dyDescent="0.25">
      <c r="A71" s="38">
        <v>51</v>
      </c>
      <c r="B71" s="36" t="s">
        <v>42</v>
      </c>
      <c r="C71" s="43"/>
      <c r="D71" s="43"/>
      <c r="E71" s="17" t="s">
        <v>27</v>
      </c>
      <c r="F71" s="17" t="s">
        <v>27</v>
      </c>
      <c r="G71" s="17" t="s">
        <v>27</v>
      </c>
      <c r="H71" s="17"/>
      <c r="I71" s="17"/>
      <c r="J71" s="17"/>
      <c r="K71" s="17"/>
      <c r="L71" s="62">
        <f t="shared" si="16"/>
        <v>3</v>
      </c>
      <c r="M71" s="62" t="s">
        <v>239</v>
      </c>
      <c r="N71" s="38" t="s">
        <v>152</v>
      </c>
      <c r="O71" s="106">
        <v>0.62152777777777779</v>
      </c>
      <c r="P71" s="37" t="s">
        <v>77</v>
      </c>
      <c r="Q71" s="61" t="s">
        <v>66</v>
      </c>
      <c r="R71" s="61" t="s">
        <v>69</v>
      </c>
      <c r="S71" s="101" t="s">
        <v>119</v>
      </c>
      <c r="T71" s="30" t="s">
        <v>238</v>
      </c>
      <c r="U71" s="106"/>
      <c r="V71" s="75"/>
      <c r="W71" s="108"/>
      <c r="X71" s="109"/>
      <c r="Y71" s="19"/>
      <c r="Z71" s="20"/>
      <c r="AA71" s="25" t="str">
        <f t="shared" si="1"/>
        <v xml:space="preserve">GC </v>
      </c>
      <c r="AB71" s="72">
        <v>0.61805555555555558</v>
      </c>
      <c r="AC71" s="73">
        <v>0.625</v>
      </c>
      <c r="AD71" s="68">
        <v>6.9444444444444198E-3</v>
      </c>
      <c r="AE71" s="49"/>
      <c r="AF71" s="50" t="s">
        <v>0</v>
      </c>
      <c r="AG71" s="21"/>
      <c r="AH71" s="22"/>
      <c r="AI71" s="23"/>
      <c r="AJ71" s="24"/>
      <c r="AK71" s="25"/>
      <c r="AL71" s="25"/>
      <c r="AM71" s="27"/>
      <c r="AN71" s="28"/>
      <c r="AO71" s="29"/>
      <c r="AP71" s="94" t="s">
        <v>158</v>
      </c>
      <c r="AQ71" s="29"/>
      <c r="AR71" s="18" t="s">
        <v>130</v>
      </c>
      <c r="AS71" s="18" t="s">
        <v>114</v>
      </c>
    </row>
    <row r="72" spans="1:45" s="30" customFormat="1" ht="78.75" customHeight="1" thickBot="1" x14ac:dyDescent="0.25">
      <c r="A72" s="38">
        <v>52</v>
      </c>
      <c r="B72" s="36" t="s">
        <v>42</v>
      </c>
      <c r="C72" s="43" t="s">
        <v>27</v>
      </c>
      <c r="D72" s="43"/>
      <c r="E72" s="17"/>
      <c r="F72" s="17"/>
      <c r="G72" s="17"/>
      <c r="H72" s="17"/>
      <c r="I72" s="17"/>
      <c r="J72" s="17"/>
      <c r="K72" s="17" t="s">
        <v>27</v>
      </c>
      <c r="L72" s="62">
        <f t="shared" si="16"/>
        <v>1</v>
      </c>
      <c r="M72" s="62" t="s">
        <v>239</v>
      </c>
      <c r="N72" s="38" t="s">
        <v>153</v>
      </c>
      <c r="O72" s="106">
        <v>0.625</v>
      </c>
      <c r="P72" s="93" t="s">
        <v>79</v>
      </c>
      <c r="Q72" s="61" t="s">
        <v>66</v>
      </c>
      <c r="R72" s="44" t="s">
        <v>106</v>
      </c>
      <c r="S72" s="103" t="s">
        <v>167</v>
      </c>
      <c r="T72" s="118" t="s">
        <v>237</v>
      </c>
      <c r="U72" s="106"/>
      <c r="V72" s="75"/>
      <c r="W72" s="108"/>
      <c r="X72" s="109"/>
      <c r="Y72" s="19"/>
      <c r="Z72" s="20"/>
      <c r="AA72" s="25" t="str">
        <f t="shared" si="1"/>
        <v xml:space="preserve">GC </v>
      </c>
      <c r="AB72" s="72">
        <v>0.67708333333333337</v>
      </c>
      <c r="AC72" s="73">
        <v>0.68194444444444446</v>
      </c>
      <c r="AD72" s="68">
        <v>4.8611111111110938E-3</v>
      </c>
      <c r="AE72" s="49"/>
      <c r="AF72" s="50" t="s">
        <v>0</v>
      </c>
      <c r="AG72" s="21"/>
      <c r="AH72" s="22"/>
      <c r="AI72" s="23"/>
      <c r="AJ72" s="24"/>
      <c r="AK72" s="25"/>
      <c r="AL72" s="25"/>
      <c r="AM72" s="27"/>
      <c r="AN72" s="28"/>
      <c r="AO72" s="29"/>
      <c r="AP72" s="94" t="s">
        <v>156</v>
      </c>
      <c r="AQ72" s="29"/>
      <c r="AR72" s="18" t="s">
        <v>111</v>
      </c>
      <c r="AS72" s="18" t="s">
        <v>114</v>
      </c>
    </row>
    <row r="73" spans="1:45" s="30" customFormat="1" ht="78.75" customHeight="1" thickBot="1" x14ac:dyDescent="0.25">
      <c r="A73" s="38">
        <v>53</v>
      </c>
      <c r="B73" s="36" t="s">
        <v>43</v>
      </c>
      <c r="C73" s="43" t="s">
        <v>27</v>
      </c>
      <c r="D73" s="43"/>
      <c r="E73" s="17"/>
      <c r="F73" s="17"/>
      <c r="G73" s="17"/>
      <c r="H73" s="17"/>
      <c r="I73" s="17"/>
      <c r="J73" s="17"/>
      <c r="K73" s="17" t="s">
        <v>27</v>
      </c>
      <c r="L73" s="62">
        <f t="shared" ref="L73" si="17">COUNTA(E73:K73)</f>
        <v>1</v>
      </c>
      <c r="M73" s="62" t="s">
        <v>239</v>
      </c>
      <c r="N73" s="38" t="s">
        <v>153</v>
      </c>
      <c r="O73" s="106">
        <v>0.625</v>
      </c>
      <c r="P73" s="93" t="s">
        <v>79</v>
      </c>
      <c r="Q73" s="61" t="s">
        <v>66</v>
      </c>
      <c r="R73" s="48" t="s">
        <v>107</v>
      </c>
      <c r="S73" s="103" t="s">
        <v>172</v>
      </c>
      <c r="T73" s="118" t="s">
        <v>237</v>
      </c>
      <c r="U73" s="106"/>
      <c r="V73" s="75"/>
      <c r="W73" s="108"/>
      <c r="X73" s="109"/>
      <c r="Y73" s="19"/>
      <c r="Z73" s="20"/>
      <c r="AA73" s="25" t="str">
        <f t="shared" si="1"/>
        <v xml:space="preserve">GC </v>
      </c>
      <c r="AB73" s="72">
        <v>0.63541666666666663</v>
      </c>
      <c r="AC73" s="73">
        <v>0.80486111111111114</v>
      </c>
      <c r="AD73" s="68">
        <v>0.16944444444444451</v>
      </c>
      <c r="AE73" s="49"/>
      <c r="AF73" s="50" t="s">
        <v>120</v>
      </c>
      <c r="AG73" s="21"/>
      <c r="AH73" s="22"/>
      <c r="AI73" s="23"/>
      <c r="AJ73" s="24"/>
      <c r="AK73" s="25"/>
      <c r="AL73" s="25"/>
      <c r="AM73" s="27"/>
      <c r="AN73" s="28"/>
      <c r="AO73" s="29"/>
      <c r="AP73" s="94" t="s">
        <v>155</v>
      </c>
      <c r="AQ73" s="29"/>
      <c r="AR73" s="18" t="s">
        <v>130</v>
      </c>
      <c r="AS73" s="18" t="s">
        <v>114</v>
      </c>
    </row>
    <row r="74" spans="1:45" s="30" customFormat="1" ht="66" thickBot="1" x14ac:dyDescent="0.25">
      <c r="A74" s="38">
        <v>54</v>
      </c>
      <c r="B74" s="36" t="s">
        <v>43</v>
      </c>
      <c r="C74" s="43" t="s">
        <v>27</v>
      </c>
      <c r="D74" s="43"/>
      <c r="E74" s="17" t="s">
        <v>27</v>
      </c>
      <c r="F74" s="17" t="s">
        <v>27</v>
      </c>
      <c r="G74" s="17" t="s">
        <v>27</v>
      </c>
      <c r="H74" s="17" t="s">
        <v>27</v>
      </c>
      <c r="I74" s="17" t="s">
        <v>27</v>
      </c>
      <c r="J74" s="77" t="s">
        <v>27</v>
      </c>
      <c r="K74" s="77" t="s">
        <v>27</v>
      </c>
      <c r="L74" s="62">
        <f t="shared" si="16"/>
        <v>7</v>
      </c>
      <c r="M74" s="62" t="s">
        <v>239</v>
      </c>
      <c r="N74" s="38" t="s">
        <v>153</v>
      </c>
      <c r="O74" s="106">
        <v>0.62847222222222221</v>
      </c>
      <c r="P74" s="61" t="s">
        <v>77</v>
      </c>
      <c r="Q74" s="61" t="s">
        <v>66</v>
      </c>
      <c r="R74" s="61" t="s">
        <v>128</v>
      </c>
      <c r="S74" s="101" t="s">
        <v>206</v>
      </c>
      <c r="T74" s="30" t="s">
        <v>238</v>
      </c>
      <c r="U74" s="106"/>
      <c r="V74" s="75"/>
      <c r="W74" s="108"/>
      <c r="X74" s="109"/>
      <c r="Y74" s="19"/>
      <c r="Z74" s="20"/>
      <c r="AA74" s="25" t="str">
        <f t="shared" si="1"/>
        <v xml:space="preserve">GC </v>
      </c>
      <c r="AB74" s="72"/>
      <c r="AC74" s="73"/>
      <c r="AD74" s="68"/>
      <c r="AE74" s="49"/>
      <c r="AF74" s="50" t="s">
        <v>120</v>
      </c>
      <c r="AG74" s="21"/>
      <c r="AH74" s="22"/>
      <c r="AI74" s="23"/>
      <c r="AJ74" s="24"/>
      <c r="AK74" s="25"/>
      <c r="AL74" s="25"/>
      <c r="AM74" s="27"/>
      <c r="AN74" s="28"/>
      <c r="AO74" s="29"/>
      <c r="AP74" s="94" t="s">
        <v>155</v>
      </c>
      <c r="AQ74" s="29"/>
      <c r="AR74" s="18" t="s">
        <v>130</v>
      </c>
      <c r="AS74" s="18" t="s">
        <v>114</v>
      </c>
    </row>
    <row r="75" spans="1:45" s="30" customFormat="1" ht="78.75" customHeight="1" thickBot="1" x14ac:dyDescent="0.25">
      <c r="A75" s="38">
        <v>55</v>
      </c>
      <c r="B75" s="36" t="s">
        <v>42</v>
      </c>
      <c r="C75" s="43" t="s">
        <v>27</v>
      </c>
      <c r="D75" s="43"/>
      <c r="E75" s="17"/>
      <c r="F75" s="17"/>
      <c r="G75" s="17"/>
      <c r="H75" s="17"/>
      <c r="I75" s="17"/>
      <c r="J75" s="17"/>
      <c r="K75" s="17" t="s">
        <v>27</v>
      </c>
      <c r="L75" s="62">
        <f t="shared" si="16"/>
        <v>1</v>
      </c>
      <c r="M75" s="62" t="s">
        <v>239</v>
      </c>
      <c r="N75" s="38" t="s">
        <v>153</v>
      </c>
      <c r="O75" s="106">
        <v>0.63541666666666663</v>
      </c>
      <c r="P75" s="61" t="s">
        <v>82</v>
      </c>
      <c r="Q75" s="61" t="s">
        <v>66</v>
      </c>
      <c r="R75" s="44" t="s">
        <v>106</v>
      </c>
      <c r="S75" s="103" t="s">
        <v>168</v>
      </c>
      <c r="T75" s="118" t="s">
        <v>237</v>
      </c>
      <c r="U75" s="106"/>
      <c r="V75" s="75"/>
      <c r="W75" s="108"/>
      <c r="X75" s="109"/>
      <c r="Y75" s="19"/>
      <c r="Z75" s="20"/>
      <c r="AA75" s="25" t="str">
        <f t="shared" si="1"/>
        <v xml:space="preserve">GC </v>
      </c>
      <c r="AB75" s="72">
        <v>0.68055555555555547</v>
      </c>
      <c r="AC75" s="73">
        <v>0.6875</v>
      </c>
      <c r="AD75" s="68">
        <v>6.9444444444445308E-3</v>
      </c>
      <c r="AE75" s="49"/>
      <c r="AF75" s="50" t="s">
        <v>0</v>
      </c>
      <c r="AG75" s="21"/>
      <c r="AH75" s="22"/>
      <c r="AI75" s="23"/>
      <c r="AJ75" s="24"/>
      <c r="AK75" s="25"/>
      <c r="AL75" s="26"/>
      <c r="AM75" s="27"/>
      <c r="AN75" s="28"/>
      <c r="AO75" s="29"/>
      <c r="AP75" s="94" t="s">
        <v>68</v>
      </c>
      <c r="AQ75" s="29"/>
      <c r="AR75" s="18">
        <f>COUNTIF(E75:K75,$K$1)</f>
        <v>0</v>
      </c>
      <c r="AS75" s="18" t="s">
        <v>114</v>
      </c>
    </row>
    <row r="76" spans="1:45" s="30" customFormat="1" ht="78.75" customHeight="1" thickBot="1" x14ac:dyDescent="0.25">
      <c r="A76" s="38">
        <v>56</v>
      </c>
      <c r="B76" s="36" t="s">
        <v>43</v>
      </c>
      <c r="C76" s="43" t="s">
        <v>27</v>
      </c>
      <c r="D76" s="43"/>
      <c r="E76" s="17"/>
      <c r="F76" s="17"/>
      <c r="G76" s="17"/>
      <c r="H76" s="17"/>
      <c r="I76" s="17"/>
      <c r="J76" s="17"/>
      <c r="K76" s="17" t="s">
        <v>27</v>
      </c>
      <c r="L76" s="62">
        <f t="shared" si="16"/>
        <v>1</v>
      </c>
      <c r="M76" s="62" t="s">
        <v>239</v>
      </c>
      <c r="N76" s="38" t="s">
        <v>153</v>
      </c>
      <c r="O76" s="106">
        <v>0.63541666666666663</v>
      </c>
      <c r="P76" s="93" t="s">
        <v>78</v>
      </c>
      <c r="Q76" s="61" t="s">
        <v>66</v>
      </c>
      <c r="R76" s="48" t="s">
        <v>107</v>
      </c>
      <c r="S76" s="103" t="s">
        <v>173</v>
      </c>
      <c r="T76" s="118" t="s">
        <v>237</v>
      </c>
      <c r="U76" s="106"/>
      <c r="V76" s="75"/>
      <c r="W76" s="110"/>
      <c r="X76" s="109"/>
      <c r="Y76" s="19"/>
      <c r="Z76" s="20"/>
      <c r="AA76" s="25" t="str">
        <f t="shared" si="1"/>
        <v xml:space="preserve">GC </v>
      </c>
      <c r="AB76" s="72">
        <v>0.64236111111111105</v>
      </c>
      <c r="AC76" s="73">
        <v>0.64930555555555558</v>
      </c>
      <c r="AD76" s="68">
        <v>6.9444444444445308E-3</v>
      </c>
      <c r="AE76" s="49"/>
      <c r="AF76" s="50" t="s">
        <v>0</v>
      </c>
      <c r="AG76" s="21"/>
      <c r="AH76" s="22"/>
      <c r="AI76" s="23"/>
      <c r="AJ76" s="24"/>
      <c r="AK76" s="25"/>
      <c r="AL76" s="26"/>
      <c r="AM76" s="27"/>
      <c r="AN76" s="28"/>
      <c r="AO76" s="29"/>
      <c r="AP76" s="94" t="s">
        <v>68</v>
      </c>
      <c r="AQ76" s="29"/>
      <c r="AR76" s="18">
        <f>COUNTIF(E76:K76,$K$1)</f>
        <v>0</v>
      </c>
      <c r="AS76" s="18" t="s">
        <v>114</v>
      </c>
    </row>
    <row r="77" spans="1:45" s="30" customFormat="1" ht="59.25" customHeight="1" thickBot="1" x14ac:dyDescent="0.25">
      <c r="A77" s="38">
        <v>57</v>
      </c>
      <c r="B77" s="36" t="s">
        <v>42</v>
      </c>
      <c r="C77" s="43" t="s">
        <v>27</v>
      </c>
      <c r="D77" s="43"/>
      <c r="E77" s="17"/>
      <c r="F77" s="17"/>
      <c r="G77" s="17"/>
      <c r="H77" s="17"/>
      <c r="I77" s="17"/>
      <c r="J77" s="17"/>
      <c r="K77" s="17" t="s">
        <v>27</v>
      </c>
      <c r="L77" s="62">
        <f t="shared" si="16"/>
        <v>1</v>
      </c>
      <c r="M77" s="62" t="s">
        <v>239</v>
      </c>
      <c r="N77" s="38" t="s">
        <v>153</v>
      </c>
      <c r="O77" s="106">
        <v>0.63888888888888895</v>
      </c>
      <c r="P77" s="93" t="s">
        <v>79</v>
      </c>
      <c r="Q77" s="61" t="s">
        <v>66</v>
      </c>
      <c r="R77" s="48" t="s">
        <v>101</v>
      </c>
      <c r="S77" s="103" t="s">
        <v>176</v>
      </c>
      <c r="T77" s="118" t="s">
        <v>237</v>
      </c>
      <c r="U77" s="106"/>
      <c r="V77" s="75"/>
      <c r="W77" s="110"/>
      <c r="X77" s="109"/>
      <c r="Y77" s="19"/>
      <c r="Z77" s="20"/>
      <c r="AA77" s="25" t="str">
        <f t="shared" si="1"/>
        <v xml:space="preserve">GC </v>
      </c>
      <c r="AB77" s="72">
        <v>0.61111111111111105</v>
      </c>
      <c r="AC77" s="73">
        <v>0.61319444444444449</v>
      </c>
      <c r="AD77" s="68">
        <v>2.083333333333437E-3</v>
      </c>
      <c r="AE77" s="49"/>
      <c r="AF77" s="50" t="s">
        <v>123</v>
      </c>
      <c r="AG77" s="21"/>
      <c r="AH77" s="22"/>
      <c r="AI77" s="23"/>
      <c r="AJ77" s="24"/>
      <c r="AK77" s="25"/>
      <c r="AL77" s="25"/>
      <c r="AM77" s="27"/>
      <c r="AN77" s="28"/>
      <c r="AO77" s="29"/>
      <c r="AP77" s="94" t="s">
        <v>156</v>
      </c>
      <c r="AQ77" s="29"/>
      <c r="AR77" s="18">
        <f>COUNTIF(E77:K77,$K$1)</f>
        <v>0</v>
      </c>
      <c r="AS77" s="18" t="s">
        <v>114</v>
      </c>
    </row>
    <row r="78" spans="1:45" s="30" customFormat="1" ht="106.5" customHeight="1" thickBot="1" x14ac:dyDescent="0.25">
      <c r="A78" s="38">
        <v>58</v>
      </c>
      <c r="B78" s="36" t="s">
        <v>43</v>
      </c>
      <c r="C78" s="43" t="s">
        <v>27</v>
      </c>
      <c r="D78" s="43"/>
      <c r="E78" s="17"/>
      <c r="F78" s="17"/>
      <c r="G78" s="17"/>
      <c r="H78" s="17"/>
      <c r="I78" s="17"/>
      <c r="J78" s="17"/>
      <c r="K78" s="17" t="s">
        <v>27</v>
      </c>
      <c r="L78" s="62">
        <f t="shared" si="16"/>
        <v>1</v>
      </c>
      <c r="M78" s="62" t="s">
        <v>239</v>
      </c>
      <c r="N78" s="38" t="s">
        <v>153</v>
      </c>
      <c r="O78" s="106">
        <v>0.64583333333333337</v>
      </c>
      <c r="P78" s="93" t="s">
        <v>78</v>
      </c>
      <c r="Q78" s="61" t="s">
        <v>66</v>
      </c>
      <c r="R78" s="48" t="s">
        <v>101</v>
      </c>
      <c r="S78" s="103" t="s">
        <v>177</v>
      </c>
      <c r="T78" s="118" t="s">
        <v>237</v>
      </c>
      <c r="U78" s="106"/>
      <c r="V78" s="75"/>
      <c r="W78" s="108"/>
      <c r="X78" s="109"/>
      <c r="Y78" s="19"/>
      <c r="Z78" s="20"/>
      <c r="AA78" s="25" t="str">
        <f t="shared" si="1"/>
        <v xml:space="preserve">GC </v>
      </c>
      <c r="AB78" s="72">
        <v>0.63888888888888895</v>
      </c>
      <c r="AC78" s="73">
        <v>0.64583333333333337</v>
      </c>
      <c r="AD78" s="68">
        <v>6.9444444444444198E-3</v>
      </c>
      <c r="AE78" s="49"/>
      <c r="AF78" s="50" t="s">
        <v>123</v>
      </c>
      <c r="AG78" s="21"/>
      <c r="AH78" s="22"/>
      <c r="AI78" s="23"/>
      <c r="AJ78" s="24"/>
      <c r="AK78" s="25"/>
      <c r="AL78" s="25"/>
      <c r="AM78" s="27"/>
      <c r="AN78" s="28"/>
      <c r="AO78" s="29"/>
      <c r="AP78" s="94" t="s">
        <v>156</v>
      </c>
      <c r="AQ78" s="29"/>
      <c r="AR78" s="18">
        <f>COUNTIF(E78:K78,$K$1)</f>
        <v>0</v>
      </c>
      <c r="AS78" s="18" t="s">
        <v>114</v>
      </c>
    </row>
    <row r="79" spans="1:45" s="30" customFormat="1" ht="78.75" customHeight="1" thickBot="1" x14ac:dyDescent="0.25">
      <c r="A79" s="38">
        <v>59</v>
      </c>
      <c r="B79" s="36" t="s">
        <v>43</v>
      </c>
      <c r="C79" s="43" t="s">
        <v>27</v>
      </c>
      <c r="D79" s="43"/>
      <c r="E79" s="17" t="s">
        <v>27</v>
      </c>
      <c r="F79" s="17" t="s">
        <v>27</v>
      </c>
      <c r="G79" s="17" t="s">
        <v>27</v>
      </c>
      <c r="H79" s="17" t="s">
        <v>27</v>
      </c>
      <c r="I79" s="17" t="s">
        <v>27</v>
      </c>
      <c r="J79" s="17" t="s">
        <v>27</v>
      </c>
      <c r="K79" s="17" t="s">
        <v>27</v>
      </c>
      <c r="L79" s="62">
        <f t="shared" si="16"/>
        <v>7</v>
      </c>
      <c r="M79" s="62" t="s">
        <v>239</v>
      </c>
      <c r="N79" s="38" t="s">
        <v>152</v>
      </c>
      <c r="O79" s="106">
        <v>0.67708333333333337</v>
      </c>
      <c r="P79" s="61" t="s">
        <v>63</v>
      </c>
      <c r="Q79" s="61" t="s">
        <v>66</v>
      </c>
      <c r="R79" s="61" t="s">
        <v>62</v>
      </c>
      <c r="S79" s="101" t="s">
        <v>179</v>
      </c>
      <c r="T79" s="30" t="s">
        <v>238</v>
      </c>
      <c r="U79" s="106"/>
      <c r="V79" s="75"/>
      <c r="W79" s="108"/>
      <c r="X79" s="109"/>
      <c r="Y79" s="19"/>
      <c r="Z79" s="20"/>
      <c r="AA79" s="25" t="str">
        <f t="shared" si="1"/>
        <v xml:space="preserve">GC </v>
      </c>
      <c r="AB79" s="72">
        <v>0.75</v>
      </c>
      <c r="AC79" s="73">
        <v>0.75277777777777777</v>
      </c>
      <c r="AD79" s="68">
        <v>2.7777777777777679E-3</v>
      </c>
      <c r="AE79" s="49"/>
      <c r="AF79" s="50" t="s">
        <v>0</v>
      </c>
      <c r="AG79" s="21"/>
      <c r="AH79" s="22"/>
      <c r="AI79" s="23"/>
      <c r="AJ79" s="24"/>
      <c r="AK79" s="25"/>
      <c r="AL79" s="25"/>
      <c r="AM79" s="27"/>
      <c r="AN79" s="28"/>
      <c r="AO79" s="29"/>
      <c r="AP79" s="94" t="s">
        <v>156</v>
      </c>
      <c r="AQ79" s="29"/>
      <c r="AR79" s="18">
        <f>COUNTIF(E79:K79,$K$1)</f>
        <v>0</v>
      </c>
      <c r="AS79" s="18" t="s">
        <v>114</v>
      </c>
    </row>
    <row r="80" spans="1:45" s="30" customFormat="1" ht="98.25" thickBot="1" x14ac:dyDescent="0.25">
      <c r="A80" s="38">
        <v>60</v>
      </c>
      <c r="B80" s="36" t="s">
        <v>43</v>
      </c>
      <c r="C80" s="43" t="s">
        <v>27</v>
      </c>
      <c r="D80" s="43"/>
      <c r="E80" s="17"/>
      <c r="F80" s="17"/>
      <c r="G80" s="17"/>
      <c r="H80" s="17"/>
      <c r="I80" s="17"/>
      <c r="J80" s="17"/>
      <c r="K80" s="17" t="s">
        <v>27</v>
      </c>
      <c r="L80" s="62">
        <f t="shared" ref="L80:L82" si="18">COUNTA(E80:K80)</f>
        <v>1</v>
      </c>
      <c r="M80" s="62" t="s">
        <v>239</v>
      </c>
      <c r="N80" s="38" t="s">
        <v>153</v>
      </c>
      <c r="O80" s="106">
        <v>0.6875</v>
      </c>
      <c r="P80" s="92" t="s">
        <v>74</v>
      </c>
      <c r="Q80" s="61" t="s">
        <v>66</v>
      </c>
      <c r="R80" s="61" t="s">
        <v>97</v>
      </c>
      <c r="S80" s="117" t="s">
        <v>211</v>
      </c>
      <c r="T80" s="118" t="s">
        <v>237</v>
      </c>
      <c r="U80" s="106"/>
      <c r="V80" s="75"/>
      <c r="W80" s="108"/>
      <c r="X80" s="109"/>
      <c r="Y80" s="19"/>
      <c r="Z80" s="20"/>
      <c r="AA80" s="25" t="str">
        <f t="shared" si="1"/>
        <v xml:space="preserve">GC </v>
      </c>
      <c r="AB80" s="72">
        <v>0.73958333333333337</v>
      </c>
      <c r="AC80" s="73">
        <v>0.74444444444444446</v>
      </c>
      <c r="AD80" s="68">
        <v>4.8611111111110938E-3</v>
      </c>
      <c r="AE80" s="49"/>
      <c r="AF80" s="50" t="s">
        <v>0</v>
      </c>
      <c r="AG80" s="21"/>
      <c r="AH80" s="22"/>
      <c r="AI80" s="23"/>
      <c r="AJ80" s="24"/>
      <c r="AK80" s="25"/>
      <c r="AL80" s="26"/>
      <c r="AM80" s="27"/>
      <c r="AN80" s="28"/>
      <c r="AO80" s="29"/>
      <c r="AP80" s="94" t="s">
        <v>68</v>
      </c>
      <c r="AQ80" s="29"/>
      <c r="AR80" s="18">
        <f t="shared" ref="AR80:AR82" si="19">COUNTIF(E80:K80,$K$1)</f>
        <v>0</v>
      </c>
      <c r="AS80" s="18" t="s">
        <v>114</v>
      </c>
    </row>
    <row r="81" spans="1:46" s="30" customFormat="1" ht="98.25" thickBot="1" x14ac:dyDescent="0.25">
      <c r="A81" s="38">
        <v>61</v>
      </c>
      <c r="B81" s="36" t="s">
        <v>43</v>
      </c>
      <c r="C81" s="43" t="s">
        <v>27</v>
      </c>
      <c r="D81" s="43"/>
      <c r="E81" s="17"/>
      <c r="F81" s="17"/>
      <c r="G81" s="17"/>
      <c r="H81" s="17"/>
      <c r="I81" s="17"/>
      <c r="J81" s="17"/>
      <c r="K81" s="17" t="s">
        <v>27</v>
      </c>
      <c r="L81" s="62">
        <f t="shared" si="18"/>
        <v>1</v>
      </c>
      <c r="M81" s="62" t="s">
        <v>239</v>
      </c>
      <c r="N81" s="38" t="s">
        <v>153</v>
      </c>
      <c r="O81" s="106">
        <v>0.69791666666666663</v>
      </c>
      <c r="P81" s="92" t="s">
        <v>76</v>
      </c>
      <c r="Q81" s="61" t="s">
        <v>66</v>
      </c>
      <c r="R81" s="61" t="s">
        <v>97</v>
      </c>
      <c r="S81" s="101" t="s">
        <v>203</v>
      </c>
      <c r="T81" s="118" t="s">
        <v>237</v>
      </c>
      <c r="U81" s="106"/>
      <c r="V81" s="75"/>
      <c r="W81" s="108"/>
      <c r="X81" s="109"/>
      <c r="Y81" s="19"/>
      <c r="Z81" s="20"/>
      <c r="AA81" s="25" t="str">
        <f t="shared" si="1"/>
        <v xml:space="preserve">GC </v>
      </c>
      <c r="AB81" s="72">
        <v>0.74305555555555547</v>
      </c>
      <c r="AC81" s="73">
        <v>0.75</v>
      </c>
      <c r="AD81" s="68">
        <v>6.9444444444445308E-3</v>
      </c>
      <c r="AE81" s="49"/>
      <c r="AF81" s="50" t="s">
        <v>123</v>
      </c>
      <c r="AG81" s="21"/>
      <c r="AH81" s="22"/>
      <c r="AI81" s="23"/>
      <c r="AJ81" s="24"/>
      <c r="AK81" s="25"/>
      <c r="AL81" s="25"/>
      <c r="AM81" s="27"/>
      <c r="AN81" s="28"/>
      <c r="AO81" s="29"/>
      <c r="AP81" s="94" t="s">
        <v>86</v>
      </c>
      <c r="AQ81" s="29"/>
      <c r="AR81" s="18">
        <f t="shared" si="19"/>
        <v>0</v>
      </c>
      <c r="AS81" s="18" t="s">
        <v>114</v>
      </c>
    </row>
    <row r="82" spans="1:46" s="30" customFormat="1" ht="98.25" thickBot="1" x14ac:dyDescent="0.25">
      <c r="A82" s="38">
        <v>62</v>
      </c>
      <c r="B82" s="36" t="s">
        <v>43</v>
      </c>
      <c r="C82" s="43" t="s">
        <v>27</v>
      </c>
      <c r="D82" s="43"/>
      <c r="E82" s="17"/>
      <c r="F82" s="17"/>
      <c r="G82" s="17"/>
      <c r="H82" s="17"/>
      <c r="I82" s="17"/>
      <c r="J82" s="17"/>
      <c r="K82" s="17" t="s">
        <v>27</v>
      </c>
      <c r="L82" s="62">
        <f t="shared" si="18"/>
        <v>1</v>
      </c>
      <c r="M82" s="62" t="s">
        <v>239</v>
      </c>
      <c r="N82" s="38" t="s">
        <v>153</v>
      </c>
      <c r="O82" s="106">
        <v>0.70138888888888884</v>
      </c>
      <c r="P82" s="92" t="s">
        <v>76</v>
      </c>
      <c r="Q82" s="61" t="s">
        <v>66</v>
      </c>
      <c r="R82" s="61" t="s">
        <v>97</v>
      </c>
      <c r="S82" s="101" t="s">
        <v>205</v>
      </c>
      <c r="T82" s="30" t="s">
        <v>238</v>
      </c>
      <c r="U82" s="106"/>
      <c r="V82" s="75"/>
      <c r="W82" s="108"/>
      <c r="X82" s="109"/>
      <c r="Y82" s="19"/>
      <c r="Z82" s="20"/>
      <c r="AA82" s="25" t="str">
        <f t="shared" si="1"/>
        <v xml:space="preserve">GC </v>
      </c>
      <c r="AB82" s="72">
        <v>0.75347222222222221</v>
      </c>
      <c r="AC82" s="74">
        <v>0.76041666666666663</v>
      </c>
      <c r="AD82" s="68">
        <v>6.9444444444444198E-3</v>
      </c>
      <c r="AE82" s="49"/>
      <c r="AF82" s="50" t="s">
        <v>123</v>
      </c>
      <c r="AG82" s="21"/>
      <c r="AH82" s="22"/>
      <c r="AI82" s="23"/>
      <c r="AJ82" s="24"/>
      <c r="AK82" s="25"/>
      <c r="AL82" s="26"/>
      <c r="AM82" s="27"/>
      <c r="AN82" s="28"/>
      <c r="AO82" s="29"/>
      <c r="AP82" s="94" t="s">
        <v>86</v>
      </c>
      <c r="AQ82" s="29"/>
      <c r="AR82" s="18">
        <f t="shared" si="19"/>
        <v>0</v>
      </c>
      <c r="AS82" s="18" t="s">
        <v>114</v>
      </c>
    </row>
    <row r="83" spans="1:46" s="30" customFormat="1" ht="78.75" customHeight="1" thickBot="1" x14ac:dyDescent="0.25">
      <c r="A83" s="38">
        <v>63</v>
      </c>
      <c r="B83" s="36" t="s">
        <v>43</v>
      </c>
      <c r="C83" s="43"/>
      <c r="D83" s="17" t="s">
        <v>27</v>
      </c>
      <c r="E83" s="43" t="s">
        <v>27</v>
      </c>
      <c r="F83" s="43"/>
      <c r="G83" s="43" t="s">
        <v>27</v>
      </c>
      <c r="H83" s="43"/>
      <c r="I83" s="43" t="s">
        <v>27</v>
      </c>
      <c r="J83" s="77"/>
      <c r="K83" s="43"/>
      <c r="L83" s="62">
        <f t="shared" si="16"/>
        <v>3</v>
      </c>
      <c r="M83" s="62" t="s">
        <v>239</v>
      </c>
      <c r="N83" s="38" t="s">
        <v>152</v>
      </c>
      <c r="O83" s="106">
        <v>0.70833333333333337</v>
      </c>
      <c r="P83" s="61" t="s">
        <v>30</v>
      </c>
      <c r="Q83" s="61" t="s">
        <v>66</v>
      </c>
      <c r="R83" s="61" t="s">
        <v>96</v>
      </c>
      <c r="S83" s="101" t="s">
        <v>150</v>
      </c>
      <c r="T83" s="30" t="s">
        <v>238</v>
      </c>
      <c r="U83" s="106"/>
      <c r="V83" s="97"/>
      <c r="W83" s="111"/>
      <c r="X83" s="112"/>
      <c r="Y83" s="98"/>
      <c r="Z83" s="99"/>
      <c r="AA83" s="25" t="str">
        <f t="shared" si="1"/>
        <v xml:space="preserve">GC </v>
      </c>
      <c r="AB83" s="72">
        <v>0.96527777777777779</v>
      </c>
      <c r="AC83" s="73">
        <v>0.96805555555555556</v>
      </c>
      <c r="AD83" s="68">
        <v>2.7777777777777679E-3</v>
      </c>
      <c r="AE83" s="100"/>
      <c r="AF83" s="50" t="s">
        <v>0</v>
      </c>
      <c r="AG83" s="21"/>
      <c r="AH83" s="22"/>
      <c r="AI83" s="23"/>
      <c r="AJ83" s="24"/>
      <c r="AK83" s="25"/>
      <c r="AL83" s="25"/>
      <c r="AM83" s="27"/>
      <c r="AN83" s="28"/>
      <c r="AO83" s="29"/>
      <c r="AP83" s="94" t="s">
        <v>68</v>
      </c>
      <c r="AQ83" s="29"/>
      <c r="AR83" s="18">
        <f>COUNTIF(E83:K83,$K$1)</f>
        <v>0</v>
      </c>
      <c r="AS83" s="18" t="s">
        <v>114</v>
      </c>
    </row>
    <row r="84" spans="1:46" s="30" customFormat="1" ht="78.75" customHeight="1" thickBot="1" x14ac:dyDescent="0.25">
      <c r="A84" s="38">
        <v>64</v>
      </c>
      <c r="B84" s="36" t="s">
        <v>43</v>
      </c>
      <c r="C84" s="43" t="s">
        <v>27</v>
      </c>
      <c r="D84" s="43"/>
      <c r="E84" s="17"/>
      <c r="F84" s="17"/>
      <c r="G84" s="17"/>
      <c r="H84" s="17"/>
      <c r="I84" s="17"/>
      <c r="J84" s="17" t="s">
        <v>27</v>
      </c>
      <c r="K84" s="17"/>
      <c r="L84" s="62">
        <f t="shared" si="16"/>
        <v>1</v>
      </c>
      <c r="M84" s="62" t="s">
        <v>239</v>
      </c>
      <c r="N84" s="38" t="s">
        <v>153</v>
      </c>
      <c r="O84" s="106">
        <v>0.72916666666666663</v>
      </c>
      <c r="P84" s="93" t="s">
        <v>73</v>
      </c>
      <c r="Q84" s="61" t="s">
        <v>66</v>
      </c>
      <c r="R84" s="48" t="s">
        <v>99</v>
      </c>
      <c r="S84" s="103" t="s">
        <v>144</v>
      </c>
      <c r="T84" s="118" t="s">
        <v>237</v>
      </c>
      <c r="U84" s="106"/>
      <c r="V84" s="75"/>
      <c r="W84" s="108"/>
      <c r="X84" s="109"/>
      <c r="Y84" s="19"/>
      <c r="Z84" s="20"/>
      <c r="AA84" s="25" t="str">
        <f t="shared" si="1"/>
        <v xml:space="preserve">GC </v>
      </c>
      <c r="AB84" s="72">
        <v>0.47916666666666669</v>
      </c>
      <c r="AC84" s="73">
        <v>0.48125000000000001</v>
      </c>
      <c r="AD84" s="68">
        <v>2.0833333333333259E-3</v>
      </c>
      <c r="AE84" s="49"/>
      <c r="AF84" s="50" t="s">
        <v>0</v>
      </c>
      <c r="AG84" s="21"/>
      <c r="AH84" s="22"/>
      <c r="AI84" s="23"/>
      <c r="AJ84" s="24"/>
      <c r="AK84" s="37"/>
      <c r="AL84" s="26"/>
      <c r="AM84" s="27"/>
      <c r="AN84" s="28"/>
      <c r="AO84" s="29"/>
      <c r="AP84" s="94" t="s">
        <v>155</v>
      </c>
      <c r="AQ84" s="29"/>
      <c r="AR84" s="18" t="s">
        <v>110</v>
      </c>
      <c r="AS84" s="18"/>
    </row>
    <row r="85" spans="1:46" s="30" customFormat="1" ht="78.75" customHeight="1" thickBot="1" x14ac:dyDescent="0.25">
      <c r="A85" s="38">
        <v>65</v>
      </c>
      <c r="B85" s="36" t="s">
        <v>43</v>
      </c>
      <c r="C85" s="77" t="s">
        <v>27</v>
      </c>
      <c r="D85" s="17"/>
      <c r="E85" s="17" t="s">
        <v>27</v>
      </c>
      <c r="F85" s="17" t="s">
        <v>27</v>
      </c>
      <c r="G85" s="17" t="s">
        <v>27</v>
      </c>
      <c r="H85" s="17" t="s">
        <v>27</v>
      </c>
      <c r="I85" s="17" t="s">
        <v>27</v>
      </c>
      <c r="J85" s="17" t="s">
        <v>27</v>
      </c>
      <c r="K85" s="17" t="s">
        <v>27</v>
      </c>
      <c r="L85" s="62">
        <f t="shared" si="16"/>
        <v>7</v>
      </c>
      <c r="M85" s="62" t="s">
        <v>239</v>
      </c>
      <c r="N85" s="38" t="s">
        <v>152</v>
      </c>
      <c r="O85" s="106">
        <v>0.75</v>
      </c>
      <c r="P85" s="61" t="s">
        <v>30</v>
      </c>
      <c r="Q85" s="61" t="s">
        <v>66</v>
      </c>
      <c r="R85" s="61" t="s">
        <v>98</v>
      </c>
      <c r="S85" s="101" t="s">
        <v>184</v>
      </c>
      <c r="T85" s="30" t="s">
        <v>238</v>
      </c>
      <c r="U85" s="106"/>
      <c r="V85" s="97"/>
      <c r="W85" s="111"/>
      <c r="X85" s="112"/>
      <c r="Y85" s="98"/>
      <c r="Z85" s="99"/>
      <c r="AA85" s="25" t="str">
        <f t="shared" si="1"/>
        <v xml:space="preserve">GC </v>
      </c>
      <c r="AB85" s="72">
        <v>2.7777777777777779E-3</v>
      </c>
      <c r="AC85" s="73">
        <v>5.5555555555555558E-3</v>
      </c>
      <c r="AD85" s="68">
        <v>2.7777777777777779E-3</v>
      </c>
      <c r="AE85" s="100"/>
      <c r="AF85" s="50" t="s">
        <v>123</v>
      </c>
      <c r="AG85" s="21"/>
      <c r="AH85" s="22"/>
      <c r="AI85" s="23"/>
      <c r="AJ85" s="24"/>
      <c r="AK85" s="25"/>
      <c r="AL85" s="26"/>
      <c r="AM85" s="27"/>
      <c r="AN85" s="28"/>
      <c r="AO85" s="29"/>
      <c r="AP85" s="94" t="s">
        <v>86</v>
      </c>
      <c r="AQ85" s="29"/>
      <c r="AR85" s="18">
        <f t="shared" ref="AR85:AR89" si="20">COUNTIF(E85:K85,$K$1)</f>
        <v>0</v>
      </c>
      <c r="AS85" s="18" t="s">
        <v>114</v>
      </c>
    </row>
    <row r="86" spans="1:46" s="30" customFormat="1" ht="78.75" customHeight="1" thickBot="1" x14ac:dyDescent="0.25">
      <c r="A86" s="38">
        <v>66</v>
      </c>
      <c r="B86" s="36" t="s">
        <v>43</v>
      </c>
      <c r="C86" s="43" t="s">
        <v>27</v>
      </c>
      <c r="D86" s="43"/>
      <c r="E86" s="17" t="s">
        <v>27</v>
      </c>
      <c r="F86" s="17" t="s">
        <v>27</v>
      </c>
      <c r="G86" s="17" t="s">
        <v>27</v>
      </c>
      <c r="H86" s="17" t="s">
        <v>27</v>
      </c>
      <c r="I86" s="17" t="s">
        <v>27</v>
      </c>
      <c r="J86" s="77" t="s">
        <v>27</v>
      </c>
      <c r="K86" s="77" t="s">
        <v>27</v>
      </c>
      <c r="L86" s="62">
        <f t="shared" si="16"/>
        <v>7</v>
      </c>
      <c r="M86" s="62" t="s">
        <v>239</v>
      </c>
      <c r="N86" s="38" t="s">
        <v>153</v>
      </c>
      <c r="O86" s="106">
        <v>0.75347222222222221</v>
      </c>
      <c r="P86" s="61" t="s">
        <v>77</v>
      </c>
      <c r="Q86" s="61" t="s">
        <v>66</v>
      </c>
      <c r="R86" s="61" t="s">
        <v>128</v>
      </c>
      <c r="S86" s="101" t="s">
        <v>206</v>
      </c>
      <c r="T86" s="30" t="s">
        <v>238</v>
      </c>
      <c r="U86" s="106"/>
      <c r="V86" s="75"/>
      <c r="W86" s="108"/>
      <c r="X86" s="109"/>
      <c r="Y86" s="19"/>
      <c r="Z86" s="20"/>
      <c r="AA86" s="25" t="str">
        <f t="shared" si="1"/>
        <v xml:space="preserve">GC </v>
      </c>
      <c r="AB86" s="72"/>
      <c r="AC86" s="73"/>
      <c r="AD86" s="68"/>
      <c r="AE86" s="49"/>
      <c r="AF86" s="50" t="s">
        <v>0</v>
      </c>
      <c r="AG86" s="21"/>
      <c r="AH86" s="22"/>
      <c r="AI86" s="23"/>
      <c r="AJ86" s="24"/>
      <c r="AK86" s="25"/>
      <c r="AL86" s="25"/>
      <c r="AM86" s="27"/>
      <c r="AN86" s="28"/>
      <c r="AO86" s="29"/>
      <c r="AP86" s="94" t="s">
        <v>156</v>
      </c>
      <c r="AQ86" s="29"/>
      <c r="AR86" s="18">
        <f t="shared" si="20"/>
        <v>0</v>
      </c>
      <c r="AS86" s="18" t="s">
        <v>114</v>
      </c>
    </row>
    <row r="87" spans="1:46" s="30" customFormat="1" ht="78.75" customHeight="1" thickBot="1" x14ac:dyDescent="0.25">
      <c r="A87" s="38">
        <v>67</v>
      </c>
      <c r="B87" s="36" t="s">
        <v>43</v>
      </c>
      <c r="C87" s="43" t="s">
        <v>27</v>
      </c>
      <c r="D87" s="17"/>
      <c r="E87" s="17" t="s">
        <v>27</v>
      </c>
      <c r="F87" s="17" t="s">
        <v>27</v>
      </c>
      <c r="G87" s="17" t="s">
        <v>27</v>
      </c>
      <c r="H87" s="17" t="s">
        <v>27</v>
      </c>
      <c r="I87" s="17" t="s">
        <v>27</v>
      </c>
      <c r="J87" s="17" t="s">
        <v>27</v>
      </c>
      <c r="K87" s="17" t="s">
        <v>27</v>
      </c>
      <c r="L87" s="62">
        <f t="shared" si="16"/>
        <v>7</v>
      </c>
      <c r="M87" s="62" t="s">
        <v>239</v>
      </c>
      <c r="N87" s="38" t="s">
        <v>152</v>
      </c>
      <c r="O87" s="106">
        <v>0.76041666666666663</v>
      </c>
      <c r="P87" s="61" t="s">
        <v>63</v>
      </c>
      <c r="Q87" s="61" t="s">
        <v>66</v>
      </c>
      <c r="R87" s="61" t="s">
        <v>62</v>
      </c>
      <c r="S87" s="101" t="s">
        <v>179</v>
      </c>
      <c r="T87" s="30" t="s">
        <v>238</v>
      </c>
      <c r="U87" s="106"/>
      <c r="V87" s="97"/>
      <c r="W87" s="111"/>
      <c r="X87" s="112"/>
      <c r="Y87" s="98"/>
      <c r="Z87" s="99"/>
      <c r="AA87" s="25" t="str">
        <f t="shared" si="1"/>
        <v xml:space="preserve">GC </v>
      </c>
      <c r="AB87" s="72">
        <v>0.83333333333333337</v>
      </c>
      <c r="AC87" s="73">
        <v>0.83611111111111114</v>
      </c>
      <c r="AD87" s="68">
        <v>2.7777777777777679E-3</v>
      </c>
      <c r="AE87" s="100"/>
      <c r="AF87" s="50" t="s">
        <v>123</v>
      </c>
      <c r="AG87" s="21"/>
      <c r="AH87" s="22"/>
      <c r="AI87" s="23"/>
      <c r="AJ87" s="24"/>
      <c r="AK87" s="25"/>
      <c r="AL87" s="25"/>
      <c r="AM87" s="27"/>
      <c r="AN87" s="28"/>
      <c r="AO87" s="29"/>
      <c r="AP87" s="94" t="s">
        <v>86</v>
      </c>
      <c r="AQ87" s="29"/>
      <c r="AR87" s="18">
        <f t="shared" si="20"/>
        <v>0</v>
      </c>
      <c r="AS87" s="18" t="s">
        <v>114</v>
      </c>
    </row>
    <row r="88" spans="1:46" s="30" customFormat="1" ht="78.75" customHeight="1" thickBot="1" x14ac:dyDescent="0.25">
      <c r="A88" s="38">
        <v>68</v>
      </c>
      <c r="B88" s="36" t="s">
        <v>43</v>
      </c>
      <c r="C88" s="43" t="s">
        <v>27</v>
      </c>
      <c r="D88" s="17"/>
      <c r="E88" s="17" t="s">
        <v>27</v>
      </c>
      <c r="F88" s="17" t="s">
        <v>27</v>
      </c>
      <c r="G88" s="17" t="s">
        <v>27</v>
      </c>
      <c r="H88" s="17" t="s">
        <v>27</v>
      </c>
      <c r="I88" s="17" t="s">
        <v>27</v>
      </c>
      <c r="J88" s="17" t="s">
        <v>27</v>
      </c>
      <c r="K88" s="17" t="s">
        <v>27</v>
      </c>
      <c r="L88" s="62">
        <v>7</v>
      </c>
      <c r="M88" s="62" t="s">
        <v>239</v>
      </c>
      <c r="N88" s="38" t="s">
        <v>152</v>
      </c>
      <c r="O88" s="106">
        <v>0.77083333333333337</v>
      </c>
      <c r="P88" s="48" t="s">
        <v>30</v>
      </c>
      <c r="Q88" s="44" t="s">
        <v>106</v>
      </c>
      <c r="R88" s="44" t="s">
        <v>106</v>
      </c>
      <c r="S88" s="101" t="s">
        <v>186</v>
      </c>
      <c r="T88" s="30" t="s">
        <v>238</v>
      </c>
      <c r="U88" s="106"/>
      <c r="V88" s="75"/>
      <c r="W88" s="108"/>
      <c r="X88" s="109"/>
      <c r="Y88" s="19"/>
      <c r="Z88" s="20"/>
      <c r="AA88" s="25" t="str">
        <f t="shared" si="1"/>
        <v xml:space="preserve">GC </v>
      </c>
      <c r="AB88" s="72"/>
      <c r="AC88" s="74"/>
      <c r="AD88" s="68"/>
      <c r="AE88" s="49"/>
      <c r="AF88" s="50" t="s">
        <v>120</v>
      </c>
      <c r="AG88" s="21"/>
      <c r="AH88" s="22"/>
      <c r="AI88" s="23"/>
      <c r="AJ88" s="24"/>
      <c r="AK88" s="25"/>
      <c r="AL88" s="25"/>
      <c r="AM88" s="27"/>
      <c r="AN88" s="28"/>
      <c r="AO88" s="29"/>
      <c r="AP88" s="94" t="s">
        <v>68</v>
      </c>
      <c r="AQ88" s="29"/>
      <c r="AR88" s="18">
        <f t="shared" si="20"/>
        <v>0</v>
      </c>
      <c r="AS88" s="18" t="s">
        <v>114</v>
      </c>
    </row>
    <row r="89" spans="1:46" s="30" customFormat="1" ht="78.75" customHeight="1" thickBot="1" x14ac:dyDescent="0.25">
      <c r="A89" s="38">
        <v>69</v>
      </c>
      <c r="B89" s="36" t="s">
        <v>43</v>
      </c>
      <c r="C89" s="43" t="s">
        <v>27</v>
      </c>
      <c r="D89" s="43"/>
      <c r="E89" s="17" t="s">
        <v>27</v>
      </c>
      <c r="F89" s="17" t="s">
        <v>27</v>
      </c>
      <c r="G89" s="17" t="s">
        <v>27</v>
      </c>
      <c r="H89" s="17" t="s">
        <v>27</v>
      </c>
      <c r="I89" s="17" t="s">
        <v>27</v>
      </c>
      <c r="J89" s="17" t="s">
        <v>27</v>
      </c>
      <c r="K89" s="17" t="s">
        <v>27</v>
      </c>
      <c r="L89" s="62">
        <f t="shared" ref="L89:L123" si="21">COUNTA(E89:K89)</f>
        <v>7</v>
      </c>
      <c r="M89" s="62" t="s">
        <v>239</v>
      </c>
      <c r="N89" s="38" t="s">
        <v>152</v>
      </c>
      <c r="O89" s="106">
        <v>0.77083333333333337</v>
      </c>
      <c r="P89" s="61" t="s">
        <v>30</v>
      </c>
      <c r="Q89" s="61" t="s">
        <v>66</v>
      </c>
      <c r="R89" s="48" t="s">
        <v>99</v>
      </c>
      <c r="S89" s="101" t="s">
        <v>187</v>
      </c>
      <c r="T89" s="30" t="s">
        <v>238</v>
      </c>
      <c r="U89" s="106"/>
      <c r="V89" s="75"/>
      <c r="W89" s="108"/>
      <c r="X89" s="109"/>
      <c r="Y89" s="19"/>
      <c r="Z89" s="20"/>
      <c r="AA89" s="25" t="str">
        <f t="shared" si="1"/>
        <v xml:space="preserve">GC </v>
      </c>
      <c r="AB89" s="72">
        <v>0.83333333333333337</v>
      </c>
      <c r="AC89" s="73">
        <v>0.83611111111111114</v>
      </c>
      <c r="AD89" s="68">
        <v>2.7777777777777679E-3</v>
      </c>
      <c r="AE89" s="49"/>
      <c r="AF89" s="50" t="s">
        <v>120</v>
      </c>
      <c r="AG89" s="21"/>
      <c r="AH89" s="22"/>
      <c r="AI89" s="23"/>
      <c r="AJ89" s="24"/>
      <c r="AK89" s="25"/>
      <c r="AL89" s="25"/>
      <c r="AM89" s="27"/>
      <c r="AN89" s="28"/>
      <c r="AO89" s="29"/>
      <c r="AP89" s="94" t="s">
        <v>68</v>
      </c>
      <c r="AQ89" s="29"/>
      <c r="AR89" s="18">
        <f t="shared" si="20"/>
        <v>0</v>
      </c>
      <c r="AS89" s="18" t="s">
        <v>114</v>
      </c>
    </row>
    <row r="90" spans="1:46" s="30" customFormat="1" ht="78.75" customHeight="1" thickBot="1" x14ac:dyDescent="0.25">
      <c r="A90" s="38">
        <v>70</v>
      </c>
      <c r="B90" s="36" t="s">
        <v>42</v>
      </c>
      <c r="C90" s="43" t="s">
        <v>27</v>
      </c>
      <c r="D90" s="43"/>
      <c r="E90" s="17"/>
      <c r="F90" s="17"/>
      <c r="G90" s="17"/>
      <c r="H90" s="77" t="s">
        <v>95</v>
      </c>
      <c r="I90" s="77" t="s">
        <v>95</v>
      </c>
      <c r="J90" s="77" t="s">
        <v>95</v>
      </c>
      <c r="K90" s="77" t="s">
        <v>95</v>
      </c>
      <c r="L90" s="62">
        <f t="shared" si="21"/>
        <v>4</v>
      </c>
      <c r="M90" s="62" t="s">
        <v>239</v>
      </c>
      <c r="N90" s="38" t="s">
        <v>152</v>
      </c>
      <c r="O90" s="106">
        <v>0.78819444444444453</v>
      </c>
      <c r="P90" s="37" t="s">
        <v>77</v>
      </c>
      <c r="Q90" s="61" t="s">
        <v>66</v>
      </c>
      <c r="R90" s="61" t="s">
        <v>69</v>
      </c>
      <c r="S90" s="101" t="s">
        <v>119</v>
      </c>
      <c r="T90" s="30" t="s">
        <v>238</v>
      </c>
      <c r="U90" s="106"/>
      <c r="V90" s="75"/>
      <c r="W90" s="108"/>
      <c r="X90" s="109"/>
      <c r="Y90" s="19"/>
      <c r="Z90" s="20"/>
      <c r="AA90" s="25" t="str">
        <f t="shared" si="1"/>
        <v xml:space="preserve">GC </v>
      </c>
      <c r="AB90" s="72">
        <v>0.61805555555555558</v>
      </c>
      <c r="AC90" s="73">
        <v>0.625</v>
      </c>
      <c r="AD90" s="68">
        <v>6.9444444444444198E-3</v>
      </c>
      <c r="AE90" s="49"/>
      <c r="AF90" s="50" t="s">
        <v>0</v>
      </c>
      <c r="AG90" s="21"/>
      <c r="AH90" s="22"/>
      <c r="AI90" s="23"/>
      <c r="AJ90" s="24"/>
      <c r="AK90" s="25"/>
      <c r="AL90" s="26"/>
      <c r="AM90" s="27"/>
      <c r="AN90" s="28"/>
      <c r="AO90" s="29"/>
      <c r="AP90" s="94" t="s">
        <v>156</v>
      </c>
      <c r="AQ90" s="29"/>
      <c r="AR90" s="18" t="s">
        <v>111</v>
      </c>
      <c r="AS90" s="18" t="s">
        <v>114</v>
      </c>
    </row>
    <row r="91" spans="1:46" s="30" customFormat="1" ht="78.75" customHeight="1" thickBot="1" x14ac:dyDescent="0.25">
      <c r="A91" s="38">
        <v>71</v>
      </c>
      <c r="B91" s="36" t="s">
        <v>43</v>
      </c>
      <c r="C91" s="17"/>
      <c r="D91" s="17" t="s">
        <v>27</v>
      </c>
      <c r="E91" s="43" t="s">
        <v>27</v>
      </c>
      <c r="F91" s="43"/>
      <c r="G91" s="43" t="s">
        <v>27</v>
      </c>
      <c r="H91" s="43"/>
      <c r="I91" s="43" t="s">
        <v>27</v>
      </c>
      <c r="J91" s="77"/>
      <c r="K91" s="43"/>
      <c r="L91" s="62">
        <f t="shared" si="21"/>
        <v>3</v>
      </c>
      <c r="M91" s="62" t="s">
        <v>239</v>
      </c>
      <c r="N91" s="38" t="s">
        <v>152</v>
      </c>
      <c r="O91" s="106">
        <v>0.79166666666666663</v>
      </c>
      <c r="P91" s="61" t="s">
        <v>30</v>
      </c>
      <c r="Q91" s="61" t="s">
        <v>66</v>
      </c>
      <c r="R91" s="61" t="s">
        <v>102</v>
      </c>
      <c r="S91" s="101" t="s">
        <v>150</v>
      </c>
      <c r="T91" s="30" t="s">
        <v>238</v>
      </c>
      <c r="U91" s="107"/>
      <c r="V91" s="97"/>
      <c r="W91" s="111"/>
      <c r="X91" s="112"/>
      <c r="Y91" s="98"/>
      <c r="Z91" s="99"/>
      <c r="AA91" s="25" t="str">
        <f t="shared" si="1"/>
        <v xml:space="preserve">GC </v>
      </c>
      <c r="AB91" s="72"/>
      <c r="AC91" s="73"/>
      <c r="AD91" s="68"/>
      <c r="AE91" s="100"/>
      <c r="AF91" s="50" t="s">
        <v>0</v>
      </c>
      <c r="AG91" s="21"/>
      <c r="AH91" s="22"/>
      <c r="AI91" s="23"/>
      <c r="AJ91" s="24"/>
      <c r="AK91" s="25"/>
      <c r="AL91" s="25"/>
      <c r="AM91" s="27"/>
      <c r="AN91" s="28"/>
      <c r="AO91" s="29"/>
      <c r="AP91" s="94" t="s">
        <v>68</v>
      </c>
      <c r="AQ91" s="29"/>
      <c r="AR91" s="18">
        <f>COUNTIF(E91:K91,$K$1)</f>
        <v>0</v>
      </c>
      <c r="AS91" s="18" t="s">
        <v>114</v>
      </c>
    </row>
    <row r="92" spans="1:46" s="30" customFormat="1" ht="78.75" customHeight="1" thickBot="1" x14ac:dyDescent="0.25">
      <c r="A92" s="38">
        <v>72</v>
      </c>
      <c r="B92" s="36" t="s">
        <v>43</v>
      </c>
      <c r="C92" s="43"/>
      <c r="D92" s="17" t="s">
        <v>27</v>
      </c>
      <c r="E92" s="43" t="s">
        <v>27</v>
      </c>
      <c r="F92" s="43"/>
      <c r="G92" s="43" t="s">
        <v>27</v>
      </c>
      <c r="H92" s="43"/>
      <c r="I92" s="43" t="s">
        <v>27</v>
      </c>
      <c r="J92" s="77"/>
      <c r="K92" s="43"/>
      <c r="L92" s="62">
        <f t="shared" si="21"/>
        <v>3</v>
      </c>
      <c r="M92" s="62" t="s">
        <v>239</v>
      </c>
      <c r="N92" s="38" t="s">
        <v>152</v>
      </c>
      <c r="O92" s="106">
        <v>0.79166666666666663</v>
      </c>
      <c r="P92" s="61" t="s">
        <v>30</v>
      </c>
      <c r="Q92" s="61" t="s">
        <v>66</v>
      </c>
      <c r="R92" s="61" t="s">
        <v>96</v>
      </c>
      <c r="S92" s="101" t="s">
        <v>151</v>
      </c>
      <c r="T92" s="30" t="s">
        <v>238</v>
      </c>
      <c r="U92" s="107"/>
      <c r="V92" s="97"/>
      <c r="W92" s="111"/>
      <c r="X92" s="112"/>
      <c r="Y92" s="98"/>
      <c r="Z92" s="99"/>
      <c r="AA92" s="25" t="str">
        <f t="shared" ref="AA92:AA123" si="22">IF($S$16="", "",MID($S$16,FIND("-",$S$16)+2,3))</f>
        <v xml:space="preserve">GC </v>
      </c>
      <c r="AB92" s="72">
        <v>0.96527777777777779</v>
      </c>
      <c r="AC92" s="73">
        <v>0.96805555555555556</v>
      </c>
      <c r="AD92" s="68">
        <v>2.7777777777777679E-3</v>
      </c>
      <c r="AE92" s="100"/>
      <c r="AF92" s="50" t="s">
        <v>123</v>
      </c>
      <c r="AG92" s="21"/>
      <c r="AH92" s="22"/>
      <c r="AI92" s="23"/>
      <c r="AJ92" s="24"/>
      <c r="AK92" s="25"/>
      <c r="AL92" s="25"/>
      <c r="AM92" s="27"/>
      <c r="AN92" s="28"/>
      <c r="AO92" s="29"/>
      <c r="AP92" s="94" t="s">
        <v>86</v>
      </c>
      <c r="AQ92" s="29"/>
      <c r="AR92" s="18">
        <f>COUNTIF(E92:K92,$K$1)</f>
        <v>0</v>
      </c>
      <c r="AS92" s="18" t="s">
        <v>114</v>
      </c>
    </row>
    <row r="93" spans="1:46" s="30" customFormat="1" ht="78.75" customHeight="1" thickBot="1" x14ac:dyDescent="0.25">
      <c r="A93" s="38">
        <v>73</v>
      </c>
      <c r="B93" s="36" t="s">
        <v>43</v>
      </c>
      <c r="C93" s="43"/>
      <c r="D93" s="77" t="s">
        <v>27</v>
      </c>
      <c r="E93" s="17"/>
      <c r="F93" s="17"/>
      <c r="G93" s="17"/>
      <c r="H93" s="17"/>
      <c r="I93" s="17"/>
      <c r="J93" s="77" t="s">
        <v>27</v>
      </c>
      <c r="K93" s="17"/>
      <c r="L93" s="62">
        <f t="shared" si="21"/>
        <v>1</v>
      </c>
      <c r="M93" s="62" t="s">
        <v>239</v>
      </c>
      <c r="N93" s="38" t="s">
        <v>153</v>
      </c>
      <c r="O93" s="106">
        <v>0.8125</v>
      </c>
      <c r="P93" s="93" t="s">
        <v>73</v>
      </c>
      <c r="Q93" s="61"/>
      <c r="R93" s="48" t="s">
        <v>99</v>
      </c>
      <c r="S93" s="103" t="s">
        <v>145</v>
      </c>
      <c r="T93" s="118" t="s">
        <v>237</v>
      </c>
      <c r="U93" s="107"/>
      <c r="V93" s="97"/>
      <c r="W93" s="111"/>
      <c r="X93" s="112"/>
      <c r="Y93" s="98"/>
      <c r="Z93" s="99"/>
      <c r="AA93" s="25" t="str">
        <f t="shared" si="22"/>
        <v xml:space="preserve">GC </v>
      </c>
      <c r="AB93" s="72"/>
      <c r="AC93" s="73"/>
      <c r="AD93" s="68"/>
      <c r="AE93" s="100"/>
      <c r="AF93" s="50" t="s">
        <v>123</v>
      </c>
      <c r="AG93" s="21"/>
      <c r="AH93" s="22"/>
      <c r="AI93" s="23"/>
      <c r="AJ93" s="24"/>
      <c r="AK93" s="25"/>
      <c r="AL93" s="25"/>
      <c r="AM93" s="27"/>
      <c r="AN93" s="28"/>
      <c r="AO93" s="29"/>
      <c r="AP93" s="94" t="s">
        <v>28</v>
      </c>
      <c r="AQ93" s="29"/>
      <c r="AR93" s="18">
        <f>COUNTIF(E93:K93,$K$1)</f>
        <v>0</v>
      </c>
      <c r="AS93" s="18" t="s">
        <v>114</v>
      </c>
    </row>
    <row r="94" spans="1:46" s="30" customFormat="1" ht="78.75" customHeight="1" thickBot="1" x14ac:dyDescent="0.25">
      <c r="A94" s="38">
        <v>74</v>
      </c>
      <c r="B94" s="36" t="s">
        <v>43</v>
      </c>
      <c r="C94" s="17"/>
      <c r="D94" s="17" t="s">
        <v>27</v>
      </c>
      <c r="E94" s="43" t="s">
        <v>27</v>
      </c>
      <c r="F94" s="43" t="s">
        <v>27</v>
      </c>
      <c r="G94" s="43" t="s">
        <v>27</v>
      </c>
      <c r="H94" s="43" t="s">
        <v>27</v>
      </c>
      <c r="I94" s="43" t="s">
        <v>27</v>
      </c>
      <c r="J94" s="77" t="s">
        <v>27</v>
      </c>
      <c r="K94" s="43" t="s">
        <v>27</v>
      </c>
      <c r="L94" s="62">
        <f t="shared" si="21"/>
        <v>7</v>
      </c>
      <c r="M94" s="62" t="s">
        <v>239</v>
      </c>
      <c r="N94" s="38" t="s">
        <v>152</v>
      </c>
      <c r="O94" s="106">
        <v>0.83333333333333337</v>
      </c>
      <c r="P94" s="61" t="s">
        <v>30</v>
      </c>
      <c r="Q94" s="61" t="s">
        <v>66</v>
      </c>
      <c r="R94" s="61" t="s">
        <v>100</v>
      </c>
      <c r="S94" s="101" t="s">
        <v>185</v>
      </c>
      <c r="T94" s="30" t="s">
        <v>238</v>
      </c>
      <c r="U94" s="107"/>
      <c r="V94" s="97"/>
      <c r="W94" s="111"/>
      <c r="X94" s="112"/>
      <c r="Y94" s="98"/>
      <c r="Z94" s="99"/>
      <c r="AA94" s="25" t="str">
        <f t="shared" si="22"/>
        <v xml:space="preserve">GC </v>
      </c>
      <c r="AB94" s="72"/>
      <c r="AC94" s="73"/>
      <c r="AD94" s="68"/>
      <c r="AE94" s="100"/>
      <c r="AF94" s="50" t="s">
        <v>0</v>
      </c>
      <c r="AG94" s="21"/>
      <c r="AH94" s="22"/>
      <c r="AI94" s="23"/>
      <c r="AJ94" s="24"/>
      <c r="AK94" s="25"/>
      <c r="AL94" s="25"/>
      <c r="AM94" s="27"/>
      <c r="AN94" s="28"/>
      <c r="AO94" s="29"/>
      <c r="AP94" s="94" t="s">
        <v>158</v>
      </c>
      <c r="AQ94" s="29"/>
      <c r="AR94" s="18" t="s">
        <v>130</v>
      </c>
      <c r="AS94" s="18" t="s">
        <v>114</v>
      </c>
    </row>
    <row r="95" spans="1:46" s="30" customFormat="1" ht="78.75" customHeight="1" thickBot="1" x14ac:dyDescent="0.25">
      <c r="A95" s="38">
        <v>75</v>
      </c>
      <c r="B95" s="36" t="s">
        <v>43</v>
      </c>
      <c r="C95" s="43"/>
      <c r="D95" s="17" t="s">
        <v>27</v>
      </c>
      <c r="E95" s="17" t="s">
        <v>27</v>
      </c>
      <c r="F95" s="17" t="s">
        <v>27</v>
      </c>
      <c r="G95" s="17" t="s">
        <v>27</v>
      </c>
      <c r="H95" s="17" t="s">
        <v>27</v>
      </c>
      <c r="I95" s="17" t="s">
        <v>27</v>
      </c>
      <c r="J95" s="17" t="s">
        <v>27</v>
      </c>
      <c r="K95" s="17" t="s">
        <v>27</v>
      </c>
      <c r="L95" s="62">
        <f t="shared" si="21"/>
        <v>7</v>
      </c>
      <c r="M95" s="62" t="s">
        <v>239</v>
      </c>
      <c r="N95" s="38" t="s">
        <v>152</v>
      </c>
      <c r="O95" s="106">
        <v>0.84375</v>
      </c>
      <c r="P95" s="61" t="s">
        <v>63</v>
      </c>
      <c r="Q95" s="61" t="s">
        <v>66</v>
      </c>
      <c r="R95" s="61" t="s">
        <v>62</v>
      </c>
      <c r="S95" s="101" t="s">
        <v>179</v>
      </c>
      <c r="T95" s="30" t="s">
        <v>238</v>
      </c>
      <c r="U95" s="107"/>
      <c r="V95" s="97"/>
      <c r="W95" s="111"/>
      <c r="X95" s="112"/>
      <c r="Y95" s="98"/>
      <c r="Z95" s="99"/>
      <c r="AA95" s="25" t="str">
        <f t="shared" si="22"/>
        <v xml:space="preserve">GC </v>
      </c>
      <c r="AB95" s="72">
        <v>0.91666666666666663</v>
      </c>
      <c r="AC95" s="73">
        <v>0.9194444444444444</v>
      </c>
      <c r="AD95" s="68">
        <v>2.7777777777777679E-3</v>
      </c>
      <c r="AE95" s="100"/>
      <c r="AF95" s="50" t="s">
        <v>0</v>
      </c>
      <c r="AG95" s="21"/>
      <c r="AH95" s="22"/>
      <c r="AI95" s="23"/>
      <c r="AJ95" s="24"/>
      <c r="AK95" s="25"/>
      <c r="AL95" s="26"/>
      <c r="AM95" s="27"/>
      <c r="AN95" s="28"/>
      <c r="AO95" s="29"/>
      <c r="AP95" s="94" t="s">
        <v>28</v>
      </c>
      <c r="AQ95" s="40"/>
      <c r="AR95" s="18"/>
      <c r="AS95" s="18"/>
    </row>
    <row r="96" spans="1:46" s="30" customFormat="1" ht="78.75" customHeight="1" thickBot="1" x14ac:dyDescent="0.25">
      <c r="A96" s="38">
        <v>76</v>
      </c>
      <c r="B96" s="36" t="s">
        <v>43</v>
      </c>
      <c r="C96" s="43"/>
      <c r="D96" s="17" t="s">
        <v>27</v>
      </c>
      <c r="E96" s="17" t="s">
        <v>27</v>
      </c>
      <c r="F96" s="17"/>
      <c r="G96" s="17" t="s">
        <v>27</v>
      </c>
      <c r="H96" s="17"/>
      <c r="I96" s="17" t="s">
        <v>27</v>
      </c>
      <c r="J96" s="17"/>
      <c r="K96" s="17"/>
      <c r="L96" s="62">
        <f t="shared" si="21"/>
        <v>3</v>
      </c>
      <c r="M96" s="62" t="s">
        <v>239</v>
      </c>
      <c r="N96" s="38" t="s">
        <v>153</v>
      </c>
      <c r="O96" s="106">
        <v>0.85416666666666663</v>
      </c>
      <c r="P96" s="61" t="s">
        <v>30</v>
      </c>
      <c r="Q96" s="61" t="s">
        <v>66</v>
      </c>
      <c r="R96" s="61" t="s">
        <v>102</v>
      </c>
      <c r="S96" s="101" t="s">
        <v>151</v>
      </c>
      <c r="T96" s="30" t="s">
        <v>238</v>
      </c>
      <c r="U96" s="107"/>
      <c r="V96" s="97"/>
      <c r="W96" s="111"/>
      <c r="X96" s="112"/>
      <c r="Y96" s="98"/>
      <c r="Z96" s="99"/>
      <c r="AA96" s="25" t="str">
        <f t="shared" si="22"/>
        <v xml:space="preserve">GC </v>
      </c>
      <c r="AB96" s="72">
        <v>0.89583333333333337</v>
      </c>
      <c r="AC96" s="73">
        <v>0.89930555555555547</v>
      </c>
      <c r="AD96" s="68">
        <v>3.4722222222220989E-3</v>
      </c>
      <c r="AE96" s="100"/>
      <c r="AF96" s="50" t="s">
        <v>0</v>
      </c>
      <c r="AG96" s="21" t="s">
        <v>46</v>
      </c>
      <c r="AH96" s="22" t="s">
        <v>154</v>
      </c>
      <c r="AI96" s="23" t="s">
        <v>65</v>
      </c>
      <c r="AJ96" s="24">
        <v>1</v>
      </c>
      <c r="AK96" s="25"/>
      <c r="AL96" s="26"/>
      <c r="AM96" s="27"/>
      <c r="AN96" s="28"/>
      <c r="AO96" s="29"/>
      <c r="AP96" s="94" t="s">
        <v>28</v>
      </c>
      <c r="AQ96" s="29"/>
      <c r="AR96" s="18" t="s">
        <v>111</v>
      </c>
      <c r="AS96" s="18" t="s">
        <v>114</v>
      </c>
      <c r="AT96" s="40"/>
    </row>
    <row r="97" spans="1:46" s="30" customFormat="1" ht="78.75" customHeight="1" thickBot="1" x14ac:dyDescent="0.25">
      <c r="A97" s="38">
        <v>77</v>
      </c>
      <c r="B97" s="36" t="s">
        <v>43</v>
      </c>
      <c r="C97" s="43"/>
      <c r="D97" s="17" t="s">
        <v>27</v>
      </c>
      <c r="E97" s="17" t="s">
        <v>27</v>
      </c>
      <c r="F97" s="17" t="s">
        <v>27</v>
      </c>
      <c r="G97" s="17" t="s">
        <v>27</v>
      </c>
      <c r="H97" s="17" t="s">
        <v>27</v>
      </c>
      <c r="I97" s="17"/>
      <c r="J97" s="17"/>
      <c r="K97" s="17"/>
      <c r="L97" s="62">
        <f t="shared" si="21"/>
        <v>4</v>
      </c>
      <c r="M97" s="62" t="s">
        <v>239</v>
      </c>
      <c r="N97" s="38" t="s">
        <v>153</v>
      </c>
      <c r="O97" s="106">
        <v>0.86458333333333337</v>
      </c>
      <c r="P97" s="92" t="s">
        <v>40</v>
      </c>
      <c r="Q97" s="61" t="s">
        <v>66</v>
      </c>
      <c r="R97" s="44" t="s">
        <v>70</v>
      </c>
      <c r="S97" s="102" t="s">
        <v>149</v>
      </c>
      <c r="T97" s="30" t="s">
        <v>238</v>
      </c>
      <c r="U97" s="107"/>
      <c r="V97" s="97"/>
      <c r="W97" s="111"/>
      <c r="X97" s="112"/>
      <c r="Y97" s="98"/>
      <c r="Z97" s="99"/>
      <c r="AA97" s="25" t="str">
        <f t="shared" si="22"/>
        <v xml:space="preserve">GC </v>
      </c>
      <c r="AB97" s="72">
        <v>0.83680555555555547</v>
      </c>
      <c r="AC97" s="73">
        <v>0.83958333333333324</v>
      </c>
      <c r="AD97" s="68">
        <v>2.7777777777777679E-3</v>
      </c>
      <c r="AE97" s="100"/>
      <c r="AF97" s="50" t="s">
        <v>120</v>
      </c>
      <c r="AG97" s="21"/>
      <c r="AH97" s="22"/>
      <c r="AI97" s="23"/>
      <c r="AJ97" s="24"/>
      <c r="AK97" s="37"/>
      <c r="AL97" s="26"/>
      <c r="AM97" s="27"/>
      <c r="AN97" s="28"/>
      <c r="AO97" s="29"/>
      <c r="AP97" s="94" t="s">
        <v>28</v>
      </c>
      <c r="AQ97" s="29"/>
      <c r="AR97" s="18" t="s">
        <v>111</v>
      </c>
      <c r="AS97" s="18" t="s">
        <v>114</v>
      </c>
      <c r="AT97" s="96"/>
    </row>
    <row r="98" spans="1:46" s="30" customFormat="1" ht="78.75" customHeight="1" thickBot="1" x14ac:dyDescent="0.25">
      <c r="A98" s="38">
        <v>78</v>
      </c>
      <c r="B98" s="36" t="s">
        <v>43</v>
      </c>
      <c r="C98" s="43"/>
      <c r="D98" s="17" t="s">
        <v>27</v>
      </c>
      <c r="E98" s="43"/>
      <c r="F98" s="43"/>
      <c r="G98" s="43"/>
      <c r="H98" s="43"/>
      <c r="I98" s="43" t="s">
        <v>27</v>
      </c>
      <c r="J98" s="77"/>
      <c r="K98" s="43"/>
      <c r="L98" s="62">
        <f t="shared" si="21"/>
        <v>1</v>
      </c>
      <c r="M98" s="62" t="s">
        <v>239</v>
      </c>
      <c r="N98" s="38" t="s">
        <v>152</v>
      </c>
      <c r="O98" s="106">
        <v>0.86458333333333337</v>
      </c>
      <c r="P98" s="92" t="s">
        <v>40</v>
      </c>
      <c r="Q98" s="61" t="s">
        <v>66</v>
      </c>
      <c r="R98" s="44" t="s">
        <v>70</v>
      </c>
      <c r="S98" s="102" t="s">
        <v>148</v>
      </c>
      <c r="T98" s="30" t="s">
        <v>238</v>
      </c>
      <c r="U98" s="107"/>
      <c r="V98" s="97"/>
      <c r="W98" s="111"/>
      <c r="X98" s="112"/>
      <c r="Y98" s="98"/>
      <c r="Z98" s="99"/>
      <c r="AA98" s="25" t="str">
        <f t="shared" si="22"/>
        <v xml:space="preserve">GC </v>
      </c>
      <c r="AB98" s="72">
        <v>0.96527777777777779</v>
      </c>
      <c r="AC98" s="73">
        <v>0.96805555555555556</v>
      </c>
      <c r="AD98" s="68">
        <v>2.7777777777777679E-3</v>
      </c>
      <c r="AE98" s="100"/>
      <c r="AF98" s="50" t="s">
        <v>120</v>
      </c>
      <c r="AG98" s="21"/>
      <c r="AH98" s="22"/>
      <c r="AI98" s="23"/>
      <c r="AJ98" s="24"/>
      <c r="AK98" s="37"/>
      <c r="AL98" s="26"/>
      <c r="AM98" s="27"/>
      <c r="AN98" s="28"/>
      <c r="AO98" s="29"/>
      <c r="AP98" s="94" t="s">
        <v>28</v>
      </c>
      <c r="AQ98" s="29"/>
      <c r="AR98" s="18" t="s">
        <v>111</v>
      </c>
      <c r="AS98" s="18" t="s">
        <v>114</v>
      </c>
      <c r="AT98" s="96"/>
    </row>
    <row r="99" spans="1:46" s="30" customFormat="1" ht="78.75" customHeight="1" thickBot="1" x14ac:dyDescent="0.25">
      <c r="A99" s="38">
        <v>79</v>
      </c>
      <c r="B99" s="36" t="s">
        <v>43</v>
      </c>
      <c r="C99" s="43"/>
      <c r="D99" s="43" t="s">
        <v>27</v>
      </c>
      <c r="E99" s="17" t="s">
        <v>27</v>
      </c>
      <c r="F99" s="17" t="s">
        <v>27</v>
      </c>
      <c r="G99" s="17" t="s">
        <v>27</v>
      </c>
      <c r="H99" s="17" t="s">
        <v>27</v>
      </c>
      <c r="I99" s="17" t="s">
        <v>27</v>
      </c>
      <c r="J99" s="77" t="s">
        <v>27</v>
      </c>
      <c r="K99" s="77" t="s">
        <v>27</v>
      </c>
      <c r="L99" s="62">
        <f t="shared" si="21"/>
        <v>7</v>
      </c>
      <c r="M99" s="62" t="s">
        <v>239</v>
      </c>
      <c r="N99" s="38" t="s">
        <v>153</v>
      </c>
      <c r="O99" s="106">
        <v>0.87847222222222221</v>
      </c>
      <c r="P99" s="61" t="s">
        <v>77</v>
      </c>
      <c r="Q99" s="61" t="s">
        <v>66</v>
      </c>
      <c r="R99" s="61" t="s">
        <v>128</v>
      </c>
      <c r="S99" s="101" t="s">
        <v>206</v>
      </c>
      <c r="T99" s="30" t="s">
        <v>238</v>
      </c>
      <c r="U99" s="106"/>
      <c r="V99" s="75"/>
      <c r="W99" s="108"/>
      <c r="X99" s="109"/>
      <c r="Y99" s="19"/>
      <c r="Z99" s="20"/>
      <c r="AA99" s="25" t="str">
        <f t="shared" si="22"/>
        <v xml:space="preserve">GC </v>
      </c>
      <c r="AB99" s="72"/>
      <c r="AC99" s="73"/>
      <c r="AD99" s="68"/>
      <c r="AE99" s="49"/>
      <c r="AF99" s="50" t="s">
        <v>120</v>
      </c>
      <c r="AG99" s="21" t="s">
        <v>45</v>
      </c>
      <c r="AH99" s="22" t="s">
        <v>55</v>
      </c>
      <c r="AI99" s="23"/>
      <c r="AJ99" s="24"/>
      <c r="AK99" s="25"/>
      <c r="AL99" s="26"/>
      <c r="AM99" s="27"/>
      <c r="AN99" s="28"/>
      <c r="AO99" s="29"/>
      <c r="AP99" s="94" t="s">
        <v>28</v>
      </c>
      <c r="AQ99" s="29"/>
      <c r="AR99" s="18" t="s">
        <v>111</v>
      </c>
      <c r="AS99" s="18" t="s">
        <v>114</v>
      </c>
    </row>
    <row r="100" spans="1:46" s="30" customFormat="1" ht="78.75" customHeight="1" thickBot="1" x14ac:dyDescent="0.25">
      <c r="A100" s="38">
        <v>80</v>
      </c>
      <c r="B100" s="36" t="s">
        <v>43</v>
      </c>
      <c r="C100" s="17"/>
      <c r="D100" s="17" t="s">
        <v>27</v>
      </c>
      <c r="E100" s="17" t="s">
        <v>27</v>
      </c>
      <c r="F100" s="17" t="s">
        <v>27</v>
      </c>
      <c r="G100" s="17" t="s">
        <v>27</v>
      </c>
      <c r="H100" s="17" t="s">
        <v>27</v>
      </c>
      <c r="I100" s="17" t="s">
        <v>27</v>
      </c>
      <c r="J100" s="17" t="s">
        <v>27</v>
      </c>
      <c r="K100" s="17" t="s">
        <v>27</v>
      </c>
      <c r="L100" s="62">
        <f t="shared" si="21"/>
        <v>7</v>
      </c>
      <c r="M100" s="62" t="s">
        <v>239</v>
      </c>
      <c r="N100" s="38" t="s">
        <v>152</v>
      </c>
      <c r="O100" s="106">
        <v>0.89583333333333337</v>
      </c>
      <c r="P100" s="61" t="s">
        <v>30</v>
      </c>
      <c r="Q100" s="61" t="s">
        <v>66</v>
      </c>
      <c r="R100" s="61" t="s">
        <v>98</v>
      </c>
      <c r="S100" s="101" t="s">
        <v>189</v>
      </c>
      <c r="T100" s="30" t="s">
        <v>238</v>
      </c>
      <c r="U100" s="107"/>
      <c r="V100" s="97"/>
      <c r="W100" s="111"/>
      <c r="X100" s="112"/>
      <c r="Y100" s="98"/>
      <c r="Z100" s="99"/>
      <c r="AA100" s="25" t="str">
        <f t="shared" si="22"/>
        <v xml:space="preserve">GC </v>
      </c>
      <c r="AB100" s="72"/>
      <c r="AC100" s="73"/>
      <c r="AD100" s="68"/>
      <c r="AE100" s="100"/>
      <c r="AF100" s="50" t="s">
        <v>124</v>
      </c>
      <c r="AG100" s="21"/>
      <c r="AH100" s="22"/>
      <c r="AI100" s="23"/>
      <c r="AJ100" s="24"/>
      <c r="AK100" s="25"/>
      <c r="AL100" s="26"/>
      <c r="AM100" s="27"/>
      <c r="AN100" s="28"/>
      <c r="AO100" s="29"/>
      <c r="AP100" s="94" t="s">
        <v>155</v>
      </c>
      <c r="AQ100" s="29"/>
      <c r="AR100" s="18" t="s">
        <v>110</v>
      </c>
      <c r="AS100" s="18" t="s">
        <v>114</v>
      </c>
    </row>
    <row r="101" spans="1:46" s="30" customFormat="1" ht="78.75" customHeight="1" thickBot="1" x14ac:dyDescent="0.25">
      <c r="A101" s="38">
        <v>81</v>
      </c>
      <c r="B101" s="36" t="s">
        <v>43</v>
      </c>
      <c r="C101" s="43"/>
      <c r="D101" s="17" t="s">
        <v>27</v>
      </c>
      <c r="E101" s="17" t="s">
        <v>95</v>
      </c>
      <c r="F101" s="17" t="s">
        <v>95</v>
      </c>
      <c r="G101" s="17" t="s">
        <v>95</v>
      </c>
      <c r="H101" s="17" t="s">
        <v>95</v>
      </c>
      <c r="I101" s="17" t="s">
        <v>95</v>
      </c>
      <c r="J101" s="17" t="s">
        <v>95</v>
      </c>
      <c r="K101" s="17" t="s">
        <v>95</v>
      </c>
      <c r="L101" s="62">
        <f t="shared" si="21"/>
        <v>7</v>
      </c>
      <c r="M101" s="62" t="s">
        <v>239</v>
      </c>
      <c r="N101" s="38" t="s">
        <v>152</v>
      </c>
      <c r="O101" s="106">
        <v>0.91666666666666663</v>
      </c>
      <c r="P101" s="61" t="s">
        <v>30</v>
      </c>
      <c r="Q101" s="61" t="s">
        <v>66</v>
      </c>
      <c r="R101" s="61" t="s">
        <v>97</v>
      </c>
      <c r="S101" s="101" t="s">
        <v>188</v>
      </c>
      <c r="T101" s="30" t="s">
        <v>238</v>
      </c>
      <c r="U101" s="107"/>
      <c r="V101" s="97"/>
      <c r="W101" s="111"/>
      <c r="X101" s="112"/>
      <c r="Y101" s="98"/>
      <c r="Z101" s="99"/>
      <c r="AA101" s="25" t="str">
        <f t="shared" si="22"/>
        <v xml:space="preserve">GC </v>
      </c>
      <c r="AB101" s="72"/>
      <c r="AC101" s="73"/>
      <c r="AD101" s="68">
        <v>0</v>
      </c>
      <c r="AE101" s="100"/>
      <c r="AF101" s="50" t="s">
        <v>120</v>
      </c>
      <c r="AG101" s="21" t="s">
        <v>45</v>
      </c>
      <c r="AH101" s="22" t="s">
        <v>55</v>
      </c>
      <c r="AI101" s="23"/>
      <c r="AJ101" s="24"/>
      <c r="AK101" s="25"/>
      <c r="AL101" s="26"/>
      <c r="AM101" s="27"/>
      <c r="AN101" s="28"/>
      <c r="AO101" s="29"/>
      <c r="AP101" s="94" t="s">
        <v>28</v>
      </c>
      <c r="AQ101" s="40"/>
      <c r="AR101" s="18" t="s">
        <v>111</v>
      </c>
      <c r="AS101" s="18" t="s">
        <v>114</v>
      </c>
    </row>
    <row r="102" spans="1:46" s="30" customFormat="1" ht="78.75" customHeight="1" thickBot="1" x14ac:dyDescent="0.25">
      <c r="A102" s="38">
        <v>82</v>
      </c>
      <c r="B102" s="36" t="s">
        <v>43</v>
      </c>
      <c r="C102" s="43"/>
      <c r="D102" s="17" t="s">
        <v>27</v>
      </c>
      <c r="E102" s="17" t="s">
        <v>27</v>
      </c>
      <c r="F102" s="17" t="s">
        <v>27</v>
      </c>
      <c r="G102" s="17" t="s">
        <v>27</v>
      </c>
      <c r="H102" s="17" t="s">
        <v>27</v>
      </c>
      <c r="I102" s="17" t="s">
        <v>27</v>
      </c>
      <c r="J102" s="17"/>
      <c r="K102" s="17"/>
      <c r="L102" s="62">
        <f t="shared" si="21"/>
        <v>5</v>
      </c>
      <c r="M102" s="62" t="s">
        <v>239</v>
      </c>
      <c r="N102" s="38" t="s">
        <v>153</v>
      </c>
      <c r="O102" s="106">
        <v>0.92361111111111116</v>
      </c>
      <c r="P102" s="92" t="s">
        <v>40</v>
      </c>
      <c r="Q102" s="61" t="s">
        <v>66</v>
      </c>
      <c r="R102" s="44" t="s">
        <v>70</v>
      </c>
      <c r="S102" s="102" t="s">
        <v>181</v>
      </c>
      <c r="T102" s="30" t="s">
        <v>238</v>
      </c>
      <c r="U102" s="107"/>
      <c r="V102" s="97"/>
      <c r="W102" s="111"/>
      <c r="X102" s="112"/>
      <c r="Y102" s="98"/>
      <c r="Z102" s="99"/>
      <c r="AA102" s="25" t="str">
        <f t="shared" si="22"/>
        <v xml:space="preserve">GC </v>
      </c>
      <c r="AB102" s="72">
        <v>0.83680555555555547</v>
      </c>
      <c r="AC102" s="73">
        <v>0.83958333333333324</v>
      </c>
      <c r="AD102" s="68">
        <v>2.7777777777777679E-3</v>
      </c>
      <c r="AE102" s="100"/>
      <c r="AF102" s="50" t="s">
        <v>120</v>
      </c>
      <c r="AG102" s="21" t="s">
        <v>45</v>
      </c>
      <c r="AH102" s="22" t="s">
        <v>55</v>
      </c>
      <c r="AI102" s="23"/>
      <c r="AJ102" s="24"/>
      <c r="AK102" s="25"/>
      <c r="AL102" s="26"/>
      <c r="AM102" s="27"/>
      <c r="AN102" s="28"/>
      <c r="AO102" s="29"/>
      <c r="AP102" s="94" t="s">
        <v>28</v>
      </c>
      <c r="AQ102" s="40"/>
      <c r="AR102" s="18" t="s">
        <v>111</v>
      </c>
      <c r="AS102" s="18" t="s">
        <v>114</v>
      </c>
    </row>
    <row r="103" spans="1:46" s="30" customFormat="1" ht="78.75" customHeight="1" thickBot="1" x14ac:dyDescent="0.25">
      <c r="A103" s="38">
        <v>83</v>
      </c>
      <c r="B103" s="36" t="s">
        <v>43</v>
      </c>
      <c r="C103" s="17"/>
      <c r="D103" s="17" t="s">
        <v>27</v>
      </c>
      <c r="E103" s="43" t="s">
        <v>27</v>
      </c>
      <c r="F103" s="43" t="s">
        <v>27</v>
      </c>
      <c r="G103" s="43" t="s">
        <v>27</v>
      </c>
      <c r="H103" s="43" t="s">
        <v>27</v>
      </c>
      <c r="I103" s="43" t="s">
        <v>27</v>
      </c>
      <c r="J103" s="43" t="s">
        <v>27</v>
      </c>
      <c r="K103" s="43" t="s">
        <v>27</v>
      </c>
      <c r="L103" s="62">
        <f t="shared" si="21"/>
        <v>7</v>
      </c>
      <c r="M103" s="62" t="s">
        <v>239</v>
      </c>
      <c r="N103" s="38" t="s">
        <v>152</v>
      </c>
      <c r="O103" s="106">
        <v>0.92708333333333337</v>
      </c>
      <c r="P103" s="61" t="s">
        <v>52</v>
      </c>
      <c r="Q103" s="61" t="s">
        <v>66</v>
      </c>
      <c r="R103" s="61" t="s">
        <v>62</v>
      </c>
      <c r="S103" s="101" t="s">
        <v>179</v>
      </c>
      <c r="T103" s="30" t="s">
        <v>238</v>
      </c>
      <c r="U103" s="107"/>
      <c r="V103" s="97"/>
      <c r="W103" s="111"/>
      <c r="X103" s="112"/>
      <c r="Y103" s="98"/>
      <c r="Z103" s="99"/>
      <c r="AA103" s="25" t="str">
        <f t="shared" si="22"/>
        <v xml:space="preserve">GC </v>
      </c>
      <c r="AB103" s="72">
        <v>2.0833333333333332E-2</v>
      </c>
      <c r="AC103" s="73">
        <v>2.361111111111111E-2</v>
      </c>
      <c r="AD103" s="68">
        <v>2.7777777777777783E-3</v>
      </c>
      <c r="AE103" s="100"/>
      <c r="AF103" s="50"/>
      <c r="AG103" s="21"/>
      <c r="AH103" s="22"/>
      <c r="AI103" s="23"/>
      <c r="AJ103" s="24"/>
      <c r="AK103" s="25"/>
      <c r="AL103" s="26"/>
      <c r="AM103" s="27"/>
      <c r="AN103" s="28"/>
      <c r="AO103" s="29"/>
      <c r="AP103" s="94"/>
      <c r="AQ103" s="40"/>
      <c r="AR103" s="18"/>
      <c r="AS103" s="18"/>
    </row>
    <row r="104" spans="1:46" s="30" customFormat="1" ht="78.75" customHeight="1" thickBot="1" x14ac:dyDescent="0.25">
      <c r="A104" s="38">
        <v>84</v>
      </c>
      <c r="B104" s="36" t="s">
        <v>43</v>
      </c>
      <c r="C104" s="17"/>
      <c r="D104" s="17"/>
      <c r="E104" s="17" t="s">
        <v>27</v>
      </c>
      <c r="F104" s="17" t="s">
        <v>27</v>
      </c>
      <c r="G104" s="17" t="s">
        <v>27</v>
      </c>
      <c r="H104" s="17"/>
      <c r="I104" s="17"/>
      <c r="J104" s="17"/>
      <c r="K104" s="17"/>
      <c r="L104" s="62">
        <f t="shared" si="21"/>
        <v>3</v>
      </c>
      <c r="M104" s="62" t="s">
        <v>239</v>
      </c>
      <c r="N104" s="38" t="s">
        <v>152</v>
      </c>
      <c r="O104" s="106">
        <v>0.95486111111111116</v>
      </c>
      <c r="P104" s="61" t="s">
        <v>77</v>
      </c>
      <c r="Q104" s="61" t="s">
        <v>66</v>
      </c>
      <c r="R104" s="48" t="s">
        <v>69</v>
      </c>
      <c r="S104" s="101" t="s">
        <v>119</v>
      </c>
      <c r="T104" s="30" t="s">
        <v>238</v>
      </c>
      <c r="U104" s="107"/>
      <c r="V104" s="97"/>
      <c r="W104" s="111"/>
      <c r="X104" s="112"/>
      <c r="Y104" s="98"/>
      <c r="Z104" s="99"/>
      <c r="AA104" s="25" t="str">
        <f t="shared" si="22"/>
        <v xml:space="preserve">GC </v>
      </c>
      <c r="AB104" s="72">
        <v>0.85416666666666663</v>
      </c>
      <c r="AC104" s="73">
        <v>0.8569444444444444</v>
      </c>
      <c r="AD104" s="68">
        <v>2.7777777777777679E-3</v>
      </c>
      <c r="AE104" s="100"/>
      <c r="AF104" s="50" t="s">
        <v>0</v>
      </c>
      <c r="AG104" s="21"/>
      <c r="AH104" s="22"/>
      <c r="AI104" s="23"/>
      <c r="AJ104" s="24"/>
      <c r="AK104" s="25"/>
      <c r="AL104" s="26"/>
      <c r="AM104" s="27"/>
      <c r="AN104" s="28"/>
      <c r="AO104" s="29"/>
      <c r="AP104" s="94" t="s">
        <v>28</v>
      </c>
      <c r="AQ104" s="40"/>
      <c r="AR104" s="18"/>
      <c r="AS104" s="18"/>
    </row>
    <row r="105" spans="1:46" s="30" customFormat="1" ht="78.75" customHeight="1" thickBot="1" x14ac:dyDescent="0.25">
      <c r="A105" s="38">
        <v>85</v>
      </c>
      <c r="B105" s="36" t="s">
        <v>41</v>
      </c>
      <c r="C105" s="17"/>
      <c r="D105" s="17" t="s">
        <v>27</v>
      </c>
      <c r="E105" s="17" t="s">
        <v>27</v>
      </c>
      <c r="F105" s="17" t="s">
        <v>27</v>
      </c>
      <c r="G105" s="17" t="s">
        <v>27</v>
      </c>
      <c r="H105" s="17" t="s">
        <v>27</v>
      </c>
      <c r="I105" s="17" t="s">
        <v>27</v>
      </c>
      <c r="J105" s="17" t="s">
        <v>27</v>
      </c>
      <c r="K105" s="17" t="s">
        <v>27</v>
      </c>
      <c r="L105" s="62">
        <f t="shared" si="21"/>
        <v>7</v>
      </c>
      <c r="M105" s="62" t="s">
        <v>239</v>
      </c>
      <c r="N105" s="38" t="s">
        <v>152</v>
      </c>
      <c r="O105" s="106">
        <v>0.95833333333333337</v>
      </c>
      <c r="P105" s="61" t="s">
        <v>30</v>
      </c>
      <c r="Q105" s="61"/>
      <c r="R105" s="48" t="s">
        <v>99</v>
      </c>
      <c r="S105" s="101" t="s">
        <v>192</v>
      </c>
      <c r="T105" s="30" t="s">
        <v>238</v>
      </c>
      <c r="U105" s="107"/>
      <c r="V105" s="97"/>
      <c r="W105" s="111"/>
      <c r="X105" s="112"/>
      <c r="Y105" s="98"/>
      <c r="Z105" s="99"/>
      <c r="AA105" s="25" t="str">
        <f t="shared" si="22"/>
        <v xml:space="preserve">GC </v>
      </c>
      <c r="AB105" s="72"/>
      <c r="AC105" s="73"/>
      <c r="AD105" s="68"/>
      <c r="AE105" s="100"/>
      <c r="AF105" s="50"/>
      <c r="AG105" s="21"/>
      <c r="AH105" s="22"/>
      <c r="AI105" s="23"/>
      <c r="AJ105" s="24"/>
      <c r="AK105" s="25"/>
      <c r="AL105" s="26"/>
      <c r="AM105" s="27"/>
      <c r="AN105" s="28"/>
      <c r="AO105" s="29"/>
      <c r="AP105" s="94"/>
      <c r="AQ105" s="40"/>
      <c r="AR105" s="18"/>
      <c r="AS105" s="18"/>
    </row>
    <row r="106" spans="1:46" s="30" customFormat="1" ht="78.75" customHeight="1" thickBot="1" x14ac:dyDescent="0.25">
      <c r="A106" s="38">
        <v>86</v>
      </c>
      <c r="B106" s="36" t="s">
        <v>41</v>
      </c>
      <c r="C106" s="17"/>
      <c r="D106" s="17" t="s">
        <v>27</v>
      </c>
      <c r="E106" s="17" t="s">
        <v>27</v>
      </c>
      <c r="F106" s="17" t="s">
        <v>27</v>
      </c>
      <c r="G106" s="17" t="s">
        <v>27</v>
      </c>
      <c r="H106" s="17" t="s">
        <v>27</v>
      </c>
      <c r="I106" s="17" t="s">
        <v>27</v>
      </c>
      <c r="J106" s="17" t="s">
        <v>27</v>
      </c>
      <c r="K106" s="17"/>
      <c r="L106" s="62">
        <f t="shared" si="21"/>
        <v>6</v>
      </c>
      <c r="M106" s="62" t="s">
        <v>239</v>
      </c>
      <c r="N106" s="38" t="s">
        <v>152</v>
      </c>
      <c r="O106" s="106">
        <v>0.97916666666666663</v>
      </c>
      <c r="P106" s="61" t="s">
        <v>30</v>
      </c>
      <c r="Q106" s="48" t="s">
        <v>99</v>
      </c>
      <c r="R106" s="61" t="s">
        <v>97</v>
      </c>
      <c r="S106" s="101" t="s">
        <v>193</v>
      </c>
      <c r="T106" s="30" t="s">
        <v>238</v>
      </c>
      <c r="U106" s="107"/>
      <c r="V106" s="97"/>
      <c r="W106" s="111"/>
      <c r="X106" s="112"/>
      <c r="Y106" s="98"/>
      <c r="Z106" s="99"/>
      <c r="AA106" s="25" t="str">
        <f t="shared" si="22"/>
        <v xml:space="preserve">GC </v>
      </c>
      <c r="AB106" s="72">
        <v>0.95138888888888884</v>
      </c>
      <c r="AC106" s="73">
        <v>0.95833333333333337</v>
      </c>
      <c r="AD106" s="68">
        <v>6.9444444444445308E-3</v>
      </c>
      <c r="AE106" s="100"/>
      <c r="AF106" s="50" t="s">
        <v>0</v>
      </c>
      <c r="AG106" s="21"/>
      <c r="AH106" s="22"/>
      <c r="AI106" s="23"/>
      <c r="AJ106" s="24"/>
      <c r="AK106" s="25"/>
      <c r="AL106" s="26"/>
      <c r="AM106" s="27"/>
      <c r="AN106" s="28"/>
      <c r="AO106" s="29"/>
      <c r="AP106" s="94" t="s">
        <v>158</v>
      </c>
      <c r="AQ106" s="40"/>
      <c r="AR106" s="18" t="s">
        <v>130</v>
      </c>
      <c r="AS106" s="18" t="s">
        <v>114</v>
      </c>
    </row>
    <row r="107" spans="1:46" s="30" customFormat="1" ht="234.75" thickBot="1" x14ac:dyDescent="0.25">
      <c r="A107" s="38">
        <v>87</v>
      </c>
      <c r="B107" s="36" t="s">
        <v>41</v>
      </c>
      <c r="C107" s="17"/>
      <c r="D107" s="17" t="s">
        <v>27</v>
      </c>
      <c r="E107" s="17"/>
      <c r="F107" s="17"/>
      <c r="G107" s="17"/>
      <c r="H107" s="17"/>
      <c r="I107" s="17"/>
      <c r="J107" s="17"/>
      <c r="K107" s="17" t="s">
        <v>27</v>
      </c>
      <c r="L107" s="62">
        <f t="shared" si="21"/>
        <v>1</v>
      </c>
      <c r="M107" s="62" t="s">
        <v>239</v>
      </c>
      <c r="N107" s="38" t="s">
        <v>153</v>
      </c>
      <c r="O107" s="106">
        <v>0.98958333333333337</v>
      </c>
      <c r="P107" s="61" t="s">
        <v>199</v>
      </c>
      <c r="Q107" s="48"/>
      <c r="R107" s="61" t="s">
        <v>231</v>
      </c>
      <c r="S107" s="101" t="s">
        <v>232</v>
      </c>
      <c r="T107" s="118" t="s">
        <v>237</v>
      </c>
      <c r="U107" s="107"/>
      <c r="V107" s="97"/>
      <c r="W107" s="111"/>
      <c r="X107" s="112"/>
      <c r="Y107" s="98"/>
      <c r="Z107" s="99"/>
      <c r="AA107" s="25"/>
      <c r="AB107" s="72"/>
      <c r="AC107" s="73"/>
      <c r="AD107" s="68"/>
      <c r="AE107" s="100"/>
      <c r="AF107" s="50"/>
      <c r="AG107" s="21"/>
      <c r="AH107" s="22"/>
      <c r="AI107" s="23"/>
      <c r="AJ107" s="24"/>
      <c r="AK107" s="25"/>
      <c r="AL107" s="26"/>
      <c r="AM107" s="27"/>
      <c r="AN107" s="28"/>
      <c r="AO107" s="29"/>
      <c r="AP107" s="94"/>
      <c r="AQ107" s="40"/>
      <c r="AR107" s="18"/>
      <c r="AS107" s="18"/>
    </row>
    <row r="108" spans="1:46" s="30" customFormat="1" ht="234.75" thickBot="1" x14ac:dyDescent="0.25">
      <c r="A108" s="38">
        <v>88</v>
      </c>
      <c r="B108" s="36" t="s">
        <v>41</v>
      </c>
      <c r="C108" s="17"/>
      <c r="D108" s="17" t="s">
        <v>27</v>
      </c>
      <c r="E108" s="17"/>
      <c r="F108" s="17"/>
      <c r="G108" s="17"/>
      <c r="H108" s="17"/>
      <c r="I108" s="17"/>
      <c r="J108" s="17"/>
      <c r="K108" s="17" t="s">
        <v>27</v>
      </c>
      <c r="L108" s="62">
        <f>COUNTA(E108:K108)</f>
        <v>1</v>
      </c>
      <c r="M108" s="62" t="s">
        <v>239</v>
      </c>
      <c r="N108" s="38" t="s">
        <v>153</v>
      </c>
      <c r="O108" s="106">
        <v>0</v>
      </c>
      <c r="P108" s="61" t="s">
        <v>200</v>
      </c>
      <c r="Q108" s="48"/>
      <c r="R108" s="61" t="s">
        <v>231</v>
      </c>
      <c r="S108" s="101" t="s">
        <v>233</v>
      </c>
      <c r="T108" s="118" t="s">
        <v>237</v>
      </c>
      <c r="U108" s="107"/>
      <c r="V108" s="97"/>
      <c r="W108" s="111"/>
      <c r="X108" s="112"/>
      <c r="Y108" s="98"/>
      <c r="Z108" s="99"/>
      <c r="AA108" s="25"/>
      <c r="AB108" s="72"/>
      <c r="AC108" s="73"/>
      <c r="AD108" s="68"/>
      <c r="AE108" s="100"/>
      <c r="AF108" s="50"/>
      <c r="AG108" s="21"/>
      <c r="AH108" s="22"/>
      <c r="AI108" s="23"/>
      <c r="AJ108" s="24"/>
      <c r="AK108" s="25"/>
      <c r="AL108" s="26"/>
      <c r="AM108" s="27"/>
      <c r="AN108" s="28"/>
      <c r="AO108" s="29"/>
      <c r="AP108" s="94"/>
      <c r="AQ108" s="40"/>
      <c r="AR108" s="18"/>
      <c r="AS108" s="18"/>
    </row>
    <row r="109" spans="1:46" s="30" customFormat="1" ht="78.75" customHeight="1" thickBot="1" x14ac:dyDescent="0.25">
      <c r="A109" s="38">
        <v>89</v>
      </c>
      <c r="B109" s="36" t="s">
        <v>41</v>
      </c>
      <c r="C109" s="43"/>
      <c r="D109" s="17" t="s">
        <v>27</v>
      </c>
      <c r="E109" s="17" t="s">
        <v>27</v>
      </c>
      <c r="F109" s="17" t="s">
        <v>27</v>
      </c>
      <c r="G109" s="17" t="s">
        <v>27</v>
      </c>
      <c r="H109" s="77" t="s">
        <v>27</v>
      </c>
      <c r="I109" s="77" t="s">
        <v>27</v>
      </c>
      <c r="J109" s="17" t="s">
        <v>27</v>
      </c>
      <c r="K109" s="17" t="s">
        <v>27</v>
      </c>
      <c r="L109" s="62">
        <f t="shared" si="21"/>
        <v>7</v>
      </c>
      <c r="M109" s="62" t="s">
        <v>239</v>
      </c>
      <c r="N109" s="38" t="s">
        <v>153</v>
      </c>
      <c r="O109" s="106">
        <v>3.472222222222222E-3</v>
      </c>
      <c r="P109" s="61" t="s">
        <v>77</v>
      </c>
      <c r="Q109" s="61" t="s">
        <v>66</v>
      </c>
      <c r="R109" s="61" t="s">
        <v>128</v>
      </c>
      <c r="S109" s="101" t="s">
        <v>206</v>
      </c>
      <c r="T109" s="30" t="s">
        <v>238</v>
      </c>
      <c r="U109" s="107"/>
      <c r="V109" s="97"/>
      <c r="W109" s="111"/>
      <c r="X109" s="112"/>
      <c r="Y109" s="98"/>
      <c r="Z109" s="99"/>
      <c r="AA109" s="25" t="str">
        <f t="shared" si="22"/>
        <v xml:space="preserve">GC </v>
      </c>
      <c r="AB109" s="72"/>
      <c r="AC109" s="73"/>
      <c r="AD109" s="68"/>
      <c r="AE109" s="100"/>
      <c r="AF109" s="50" t="s">
        <v>120</v>
      </c>
      <c r="AG109" s="21"/>
      <c r="AH109" s="22"/>
      <c r="AI109" s="23"/>
      <c r="AJ109" s="24"/>
      <c r="AK109" s="25"/>
      <c r="AL109" s="26"/>
      <c r="AM109" s="27"/>
      <c r="AN109" s="28"/>
      <c r="AO109" s="29"/>
      <c r="AP109" s="94" t="s">
        <v>83</v>
      </c>
      <c r="AQ109" s="40"/>
      <c r="AR109" s="18">
        <f>COUNTIF(E110:K110,$K$1)</f>
        <v>0</v>
      </c>
      <c r="AS109" s="18" t="s">
        <v>114</v>
      </c>
    </row>
    <row r="110" spans="1:46" s="30" customFormat="1" ht="78.75" customHeight="1" thickBot="1" x14ac:dyDescent="0.25">
      <c r="A110" s="38">
        <v>90</v>
      </c>
      <c r="B110" s="36" t="s">
        <v>41</v>
      </c>
      <c r="C110" s="17"/>
      <c r="D110" s="17" t="s">
        <v>27</v>
      </c>
      <c r="E110" s="17" t="s">
        <v>27</v>
      </c>
      <c r="F110" s="17" t="s">
        <v>27</v>
      </c>
      <c r="G110" s="17" t="s">
        <v>27</v>
      </c>
      <c r="H110" s="17" t="s">
        <v>27</v>
      </c>
      <c r="I110" s="17" t="s">
        <v>27</v>
      </c>
      <c r="J110" s="17" t="s">
        <v>27</v>
      </c>
      <c r="K110" s="17" t="s">
        <v>27</v>
      </c>
      <c r="L110" s="62">
        <f t="shared" si="21"/>
        <v>7</v>
      </c>
      <c r="M110" s="62" t="s">
        <v>239</v>
      </c>
      <c r="N110" s="38" t="s">
        <v>152</v>
      </c>
      <c r="O110" s="106">
        <v>1.0416666666666666E-2</v>
      </c>
      <c r="P110" s="61" t="s">
        <v>63</v>
      </c>
      <c r="Q110" s="61" t="s">
        <v>66</v>
      </c>
      <c r="R110" s="61" t="s">
        <v>62</v>
      </c>
      <c r="S110" s="101" t="s">
        <v>179</v>
      </c>
      <c r="T110" s="30" t="s">
        <v>238</v>
      </c>
      <c r="U110" s="107"/>
      <c r="V110" s="97"/>
      <c r="W110" s="111"/>
      <c r="X110" s="112"/>
      <c r="Y110" s="98"/>
      <c r="Z110" s="99"/>
      <c r="AA110" s="25" t="str">
        <f t="shared" si="22"/>
        <v xml:space="preserve">GC </v>
      </c>
      <c r="AB110" s="72">
        <v>4.8611111111111112E-2</v>
      </c>
      <c r="AC110" s="73">
        <v>5.1388888888888894E-2</v>
      </c>
      <c r="AD110" s="68">
        <v>2.7777777777777818E-3</v>
      </c>
      <c r="AE110" s="100"/>
      <c r="AF110" s="50" t="s">
        <v>0</v>
      </c>
      <c r="AG110" s="21"/>
      <c r="AH110" s="22"/>
      <c r="AI110" s="23"/>
      <c r="AJ110" s="24"/>
      <c r="AK110" s="25"/>
      <c r="AL110" s="25"/>
      <c r="AM110" s="27"/>
      <c r="AN110" s="28"/>
      <c r="AO110" s="29"/>
      <c r="AP110" s="94" t="s">
        <v>83</v>
      </c>
      <c r="AQ110" s="40"/>
      <c r="AR110" s="18" t="e">
        <f>COUNTIF(#REF!,$K$1)</f>
        <v>#REF!</v>
      </c>
      <c r="AS110" s="18" t="s">
        <v>114</v>
      </c>
    </row>
    <row r="111" spans="1:46" s="30" customFormat="1" ht="78.75" customHeight="1" thickBot="1" x14ac:dyDescent="0.25">
      <c r="A111" s="38">
        <v>91</v>
      </c>
      <c r="B111" s="36" t="s">
        <v>41</v>
      </c>
      <c r="C111" s="43"/>
      <c r="D111" s="17" t="s">
        <v>27</v>
      </c>
      <c r="E111" s="17"/>
      <c r="F111" s="17"/>
      <c r="G111" s="17"/>
      <c r="H111" s="17"/>
      <c r="I111" s="17"/>
      <c r="J111" s="17" t="s">
        <v>27</v>
      </c>
      <c r="K111" s="17"/>
      <c r="L111" s="62">
        <f t="shared" si="21"/>
        <v>1</v>
      </c>
      <c r="M111" s="62" t="s">
        <v>239</v>
      </c>
      <c r="N111" s="38" t="s">
        <v>153</v>
      </c>
      <c r="O111" s="106">
        <v>2.0833333333333332E-2</v>
      </c>
      <c r="P111" s="93" t="s">
        <v>72</v>
      </c>
      <c r="Q111" s="61" t="s">
        <v>66</v>
      </c>
      <c r="R111" s="48" t="s">
        <v>84</v>
      </c>
      <c r="S111" s="103" t="s">
        <v>147</v>
      </c>
      <c r="T111" s="30" t="s">
        <v>238</v>
      </c>
      <c r="U111" s="107"/>
      <c r="V111" s="97"/>
      <c r="W111" s="111"/>
      <c r="X111" s="112"/>
      <c r="Y111" s="98"/>
      <c r="Z111" s="99"/>
      <c r="AA111" s="25" t="str">
        <f t="shared" si="22"/>
        <v xml:space="preserve">GC </v>
      </c>
      <c r="AB111" s="72">
        <v>0.92013888888888884</v>
      </c>
      <c r="AC111" s="73">
        <v>0.92291666666666661</v>
      </c>
      <c r="AD111" s="68">
        <v>2.7777777777777679E-3</v>
      </c>
      <c r="AE111" s="100"/>
      <c r="AF111" s="50" t="s">
        <v>0</v>
      </c>
      <c r="AG111" s="21" t="s">
        <v>31</v>
      </c>
      <c r="AH111" s="22" t="s">
        <v>154</v>
      </c>
      <c r="AI111" s="23" t="s">
        <v>65</v>
      </c>
      <c r="AJ111" s="24">
        <v>1</v>
      </c>
      <c r="AK111" s="25"/>
      <c r="AL111" s="26"/>
      <c r="AM111" s="27"/>
      <c r="AN111" s="28"/>
      <c r="AO111" s="29"/>
      <c r="AP111" s="94" t="s">
        <v>28</v>
      </c>
      <c r="AQ111" s="40"/>
      <c r="AR111" s="18" t="e">
        <f>COUNTIF(#REF!,$K$1)</f>
        <v>#REF!</v>
      </c>
      <c r="AS111" s="18" t="s">
        <v>114</v>
      </c>
    </row>
    <row r="112" spans="1:46" s="30" customFormat="1" ht="78.75" customHeight="1" thickBot="1" x14ac:dyDescent="0.25">
      <c r="A112" s="38">
        <v>92</v>
      </c>
      <c r="B112" s="36" t="s">
        <v>41</v>
      </c>
      <c r="C112" s="43"/>
      <c r="D112" s="43" t="s">
        <v>27</v>
      </c>
      <c r="E112" s="17"/>
      <c r="F112" s="17"/>
      <c r="G112" s="17"/>
      <c r="H112" s="17"/>
      <c r="I112" s="17"/>
      <c r="J112" s="17"/>
      <c r="K112" s="17" t="s">
        <v>27</v>
      </c>
      <c r="L112" s="62">
        <f t="shared" si="21"/>
        <v>1</v>
      </c>
      <c r="M112" s="62" t="s">
        <v>239</v>
      </c>
      <c r="N112" s="38" t="s">
        <v>152</v>
      </c>
      <c r="O112" s="106">
        <v>4.1666666666666664E-2</v>
      </c>
      <c r="P112" s="61" t="s">
        <v>30</v>
      </c>
      <c r="Q112" s="61" t="s">
        <v>66</v>
      </c>
      <c r="R112" s="61" t="s">
        <v>97</v>
      </c>
      <c r="S112" s="101" t="s">
        <v>193</v>
      </c>
      <c r="T112" s="30" t="s">
        <v>238</v>
      </c>
      <c r="U112" s="106"/>
      <c r="V112" s="75"/>
      <c r="W112" s="108"/>
      <c r="X112" s="109"/>
      <c r="Y112" s="19"/>
      <c r="Z112" s="20"/>
      <c r="AA112" s="25" t="str">
        <f t="shared" si="22"/>
        <v xml:space="preserve">GC </v>
      </c>
      <c r="AB112" s="72">
        <v>0.59722222222222221</v>
      </c>
      <c r="AC112" s="73">
        <v>0.60416666666666663</v>
      </c>
      <c r="AD112" s="68">
        <v>6.9444444444444198E-3</v>
      </c>
      <c r="AE112" s="49"/>
      <c r="AF112" s="50" t="s">
        <v>0</v>
      </c>
      <c r="AG112" s="21"/>
      <c r="AH112" s="22"/>
      <c r="AI112" s="23"/>
      <c r="AJ112" s="24"/>
      <c r="AK112" s="25"/>
      <c r="AL112" s="26"/>
      <c r="AM112" s="27"/>
      <c r="AN112" s="28"/>
      <c r="AO112" s="29"/>
      <c r="AP112" s="94" t="s">
        <v>155</v>
      </c>
      <c r="AQ112" s="40"/>
      <c r="AR112" s="18" t="s">
        <v>130</v>
      </c>
      <c r="AS112" s="18"/>
    </row>
    <row r="113" spans="1:45" s="30" customFormat="1" ht="78.75" customHeight="1" thickBot="1" x14ac:dyDescent="0.25">
      <c r="A113" s="38">
        <v>93</v>
      </c>
      <c r="B113" s="36" t="s">
        <v>41</v>
      </c>
      <c r="C113" s="43"/>
      <c r="D113" s="43" t="s">
        <v>27</v>
      </c>
      <c r="E113" s="17" t="s">
        <v>27</v>
      </c>
      <c r="F113" s="17" t="s">
        <v>27</v>
      </c>
      <c r="G113" s="17" t="s">
        <v>27</v>
      </c>
      <c r="H113" s="17" t="s">
        <v>27</v>
      </c>
      <c r="I113" s="17" t="s">
        <v>27</v>
      </c>
      <c r="J113" s="17" t="s">
        <v>27</v>
      </c>
      <c r="K113" s="17" t="s">
        <v>27</v>
      </c>
      <c r="L113" s="62">
        <f t="shared" si="21"/>
        <v>7</v>
      </c>
      <c r="M113" s="62" t="s">
        <v>239</v>
      </c>
      <c r="N113" s="38" t="s">
        <v>152</v>
      </c>
      <c r="O113" s="106">
        <v>6.25E-2</v>
      </c>
      <c r="P113" s="61" t="s">
        <v>30</v>
      </c>
      <c r="Q113" s="61"/>
      <c r="R113" s="61" t="s">
        <v>100</v>
      </c>
      <c r="S113" s="101" t="s">
        <v>190</v>
      </c>
      <c r="T113" s="30" t="s">
        <v>238</v>
      </c>
      <c r="U113" s="106"/>
      <c r="V113" s="75"/>
      <c r="W113" s="108"/>
      <c r="X113" s="109"/>
      <c r="Y113" s="19"/>
      <c r="Z113" s="20"/>
      <c r="AA113" s="25" t="str">
        <f t="shared" si="22"/>
        <v xml:space="preserve">GC </v>
      </c>
      <c r="AB113" s="72"/>
      <c r="AC113" s="73"/>
      <c r="AD113" s="68"/>
      <c r="AE113" s="49"/>
      <c r="AF113" s="50"/>
      <c r="AG113" s="21"/>
      <c r="AH113" s="22"/>
      <c r="AI113" s="23"/>
      <c r="AJ113" s="24"/>
      <c r="AK113" s="25"/>
      <c r="AL113" s="26"/>
      <c r="AM113" s="27"/>
      <c r="AN113" s="28"/>
      <c r="AO113" s="29"/>
      <c r="AP113" s="94"/>
      <c r="AQ113" s="40"/>
      <c r="AR113" s="18"/>
      <c r="AS113" s="18"/>
    </row>
    <row r="114" spans="1:45" s="30" customFormat="1" ht="78.75" customHeight="1" thickBot="1" x14ac:dyDescent="0.25">
      <c r="A114" s="38">
        <v>94</v>
      </c>
      <c r="B114" s="36" t="s">
        <v>41</v>
      </c>
      <c r="C114" s="17"/>
      <c r="D114" s="17" t="s">
        <v>27</v>
      </c>
      <c r="E114" s="43" t="s">
        <v>27</v>
      </c>
      <c r="F114" s="43" t="s">
        <v>27</v>
      </c>
      <c r="G114" s="43" t="s">
        <v>27</v>
      </c>
      <c r="H114" s="43" t="s">
        <v>27</v>
      </c>
      <c r="I114" s="43" t="s">
        <v>27</v>
      </c>
      <c r="J114" s="43" t="s">
        <v>27</v>
      </c>
      <c r="K114" s="17" t="s">
        <v>27</v>
      </c>
      <c r="L114" s="62">
        <f t="shared" si="21"/>
        <v>7</v>
      </c>
      <c r="M114" s="62" t="s">
        <v>239</v>
      </c>
      <c r="N114" s="38" t="s">
        <v>153</v>
      </c>
      <c r="O114" s="106">
        <v>8.3333333333333329E-2</v>
      </c>
      <c r="P114" s="61" t="s">
        <v>197</v>
      </c>
      <c r="Q114" s="61"/>
      <c r="R114" s="61" t="s">
        <v>160</v>
      </c>
      <c r="S114" s="101" t="s">
        <v>198</v>
      </c>
      <c r="T114" s="118" t="s">
        <v>237</v>
      </c>
      <c r="U114" s="107"/>
      <c r="V114" s="97"/>
      <c r="W114" s="111"/>
      <c r="X114" s="112"/>
      <c r="Y114" s="98"/>
      <c r="Z114" s="99"/>
      <c r="AA114" s="25" t="str">
        <f t="shared" si="22"/>
        <v xml:space="preserve">GC </v>
      </c>
      <c r="AB114" s="72"/>
      <c r="AC114" s="73"/>
      <c r="AD114" s="68"/>
      <c r="AE114" s="100"/>
      <c r="AF114" s="50" t="s">
        <v>0</v>
      </c>
      <c r="AG114" s="21" t="s">
        <v>31</v>
      </c>
      <c r="AH114" s="22" t="s">
        <v>154</v>
      </c>
      <c r="AI114" s="23" t="s">
        <v>65</v>
      </c>
      <c r="AJ114" s="24">
        <v>1</v>
      </c>
      <c r="AK114" s="25"/>
      <c r="AL114" s="26"/>
      <c r="AM114" s="27"/>
      <c r="AN114" s="28"/>
      <c r="AO114" s="29"/>
      <c r="AP114" s="94" t="s">
        <v>28</v>
      </c>
      <c r="AQ114" s="40"/>
      <c r="AR114" s="18" t="s">
        <v>129</v>
      </c>
      <c r="AS114" s="18" t="s">
        <v>114</v>
      </c>
    </row>
    <row r="115" spans="1:45" s="30" customFormat="1" ht="78.75" customHeight="1" thickBot="1" x14ac:dyDescent="0.25">
      <c r="A115" s="38">
        <v>95</v>
      </c>
      <c r="B115" s="36" t="s">
        <v>41</v>
      </c>
      <c r="C115" s="17"/>
      <c r="D115" s="17" t="s">
        <v>27</v>
      </c>
      <c r="E115" s="43" t="s">
        <v>27</v>
      </c>
      <c r="F115" s="43" t="s">
        <v>27</v>
      </c>
      <c r="G115" s="43" t="s">
        <v>27</v>
      </c>
      <c r="H115" s="43" t="s">
        <v>27</v>
      </c>
      <c r="I115" s="43" t="s">
        <v>27</v>
      </c>
      <c r="J115" s="43" t="s">
        <v>27</v>
      </c>
      <c r="K115" s="17" t="s">
        <v>27</v>
      </c>
      <c r="L115" s="62">
        <f t="shared" si="21"/>
        <v>7</v>
      </c>
      <c r="M115" s="62" t="s">
        <v>239</v>
      </c>
      <c r="N115" s="38" t="s">
        <v>152</v>
      </c>
      <c r="O115" s="106">
        <v>9.375E-2</v>
      </c>
      <c r="P115" s="61" t="s">
        <v>63</v>
      </c>
      <c r="Q115" s="61" t="s">
        <v>66</v>
      </c>
      <c r="R115" s="61" t="s">
        <v>62</v>
      </c>
      <c r="S115" s="101" t="s">
        <v>179</v>
      </c>
      <c r="T115" s="30" t="s">
        <v>238</v>
      </c>
      <c r="U115" s="107"/>
      <c r="V115" s="97"/>
      <c r="W115" s="111"/>
      <c r="X115" s="112"/>
      <c r="Y115" s="98"/>
      <c r="Z115" s="99"/>
      <c r="AA115" s="25" t="str">
        <f t="shared" si="22"/>
        <v xml:space="preserve">GC </v>
      </c>
      <c r="AB115" s="72">
        <v>8.3333333333333329E-2</v>
      </c>
      <c r="AC115" s="73">
        <v>8.6805555555555566E-2</v>
      </c>
      <c r="AD115" s="68">
        <v>3.4722222222222376E-3</v>
      </c>
      <c r="AE115" s="100"/>
      <c r="AF115" s="50" t="s">
        <v>0</v>
      </c>
      <c r="AG115" s="21" t="s">
        <v>46</v>
      </c>
      <c r="AH115" s="22" t="s">
        <v>55</v>
      </c>
      <c r="AI115" s="23" t="s">
        <v>65</v>
      </c>
      <c r="AJ115" s="24">
        <v>1</v>
      </c>
      <c r="AK115" s="25"/>
      <c r="AL115" s="25"/>
      <c r="AM115" s="27"/>
      <c r="AN115" s="28"/>
      <c r="AO115" s="29">
        <v>1</v>
      </c>
      <c r="AP115" s="94" t="s">
        <v>28</v>
      </c>
      <c r="AQ115" s="29"/>
      <c r="AR115" s="18" t="s">
        <v>129</v>
      </c>
      <c r="AS115" s="18" t="s">
        <v>114</v>
      </c>
    </row>
    <row r="116" spans="1:45" s="30" customFormat="1" ht="78.75" customHeight="1" thickBot="1" x14ac:dyDescent="0.25">
      <c r="A116" s="38">
        <v>96</v>
      </c>
      <c r="B116" s="36" t="s">
        <v>41</v>
      </c>
      <c r="C116" s="43"/>
      <c r="D116" s="17" t="s">
        <v>27</v>
      </c>
      <c r="E116" s="17" t="s">
        <v>27</v>
      </c>
      <c r="F116" s="17" t="s">
        <v>27</v>
      </c>
      <c r="G116" s="17" t="s">
        <v>27</v>
      </c>
      <c r="H116" s="17" t="s">
        <v>27</v>
      </c>
      <c r="I116" s="17" t="s">
        <v>27</v>
      </c>
      <c r="J116" s="17" t="s">
        <v>27</v>
      </c>
      <c r="K116" s="17" t="s">
        <v>27</v>
      </c>
      <c r="L116" s="62">
        <f t="shared" si="21"/>
        <v>7</v>
      </c>
      <c r="M116" s="62" t="s">
        <v>239</v>
      </c>
      <c r="N116" s="38" t="s">
        <v>153</v>
      </c>
      <c r="O116" s="106">
        <v>0.12847222222222224</v>
      </c>
      <c r="P116" s="61" t="s">
        <v>77</v>
      </c>
      <c r="Q116" s="61" t="s">
        <v>66</v>
      </c>
      <c r="R116" s="61" t="s">
        <v>128</v>
      </c>
      <c r="S116" s="101" t="s">
        <v>206</v>
      </c>
      <c r="T116" s="30" t="s">
        <v>238</v>
      </c>
      <c r="U116" s="107"/>
      <c r="V116" s="104"/>
      <c r="W116" s="111"/>
      <c r="X116" s="112"/>
      <c r="Y116" s="98"/>
      <c r="Z116" s="99"/>
      <c r="AA116" s="25" t="str">
        <f t="shared" si="22"/>
        <v xml:space="preserve">GC </v>
      </c>
      <c r="AB116" s="72"/>
      <c r="AC116" s="73"/>
      <c r="AD116" s="68"/>
      <c r="AE116" s="100"/>
      <c r="AF116" s="50" t="s">
        <v>0</v>
      </c>
      <c r="AG116" s="21" t="s">
        <v>46</v>
      </c>
      <c r="AH116" s="22" t="s">
        <v>154</v>
      </c>
      <c r="AI116" s="23" t="s">
        <v>65</v>
      </c>
      <c r="AJ116" s="24">
        <v>1</v>
      </c>
      <c r="AK116" s="25"/>
      <c r="AL116" s="26"/>
      <c r="AM116" s="27"/>
      <c r="AN116" s="28"/>
      <c r="AO116" s="29"/>
      <c r="AP116" s="94" t="s">
        <v>28</v>
      </c>
      <c r="AQ116" s="29"/>
      <c r="AR116" s="18" t="e">
        <f>COUNTIF(#REF!,$K$1)</f>
        <v>#REF!</v>
      </c>
      <c r="AS116" s="18" t="s">
        <v>114</v>
      </c>
    </row>
    <row r="117" spans="1:45" s="30" customFormat="1" ht="78.75" customHeight="1" thickBot="1" x14ac:dyDescent="0.25">
      <c r="A117" s="38">
        <v>97</v>
      </c>
      <c r="B117" s="36" t="s">
        <v>41</v>
      </c>
      <c r="C117" s="17"/>
      <c r="D117" s="17" t="s">
        <v>27</v>
      </c>
      <c r="E117" s="17" t="s">
        <v>27</v>
      </c>
      <c r="F117" s="17" t="s">
        <v>27</v>
      </c>
      <c r="G117" s="17" t="s">
        <v>27</v>
      </c>
      <c r="H117" s="17" t="s">
        <v>27</v>
      </c>
      <c r="I117" s="17" t="s">
        <v>27</v>
      </c>
      <c r="J117" s="17" t="s">
        <v>27</v>
      </c>
      <c r="K117" s="17" t="s">
        <v>27</v>
      </c>
      <c r="L117" s="62">
        <f t="shared" si="21"/>
        <v>7</v>
      </c>
      <c r="M117" s="62" t="s">
        <v>239</v>
      </c>
      <c r="N117" s="38" t="s">
        <v>152</v>
      </c>
      <c r="O117" s="106">
        <v>0.17708333333333334</v>
      </c>
      <c r="P117" s="61" t="s">
        <v>63</v>
      </c>
      <c r="Q117" s="61" t="s">
        <v>66</v>
      </c>
      <c r="R117" s="61" t="s">
        <v>62</v>
      </c>
      <c r="S117" s="114" t="s">
        <v>179</v>
      </c>
      <c r="T117" s="30" t="s">
        <v>238</v>
      </c>
      <c r="U117" s="107"/>
      <c r="V117" s="115"/>
      <c r="W117" s="116"/>
      <c r="X117" s="112"/>
      <c r="Y117" s="98"/>
      <c r="Z117" s="99"/>
      <c r="AA117" s="25" t="str">
        <f t="shared" si="22"/>
        <v xml:space="preserve">GC </v>
      </c>
      <c r="AB117" s="113">
        <v>0.125</v>
      </c>
      <c r="AC117" s="73">
        <v>0.12847222222222224</v>
      </c>
      <c r="AD117" s="68">
        <v>3.4722222222222376E-3</v>
      </c>
      <c r="AE117" s="100"/>
      <c r="AF117" s="50" t="s">
        <v>0</v>
      </c>
      <c r="AG117" s="21"/>
      <c r="AH117" s="22"/>
      <c r="AI117" s="23"/>
      <c r="AJ117" s="24"/>
      <c r="AK117" s="25"/>
      <c r="AL117" s="25"/>
      <c r="AM117" s="27"/>
      <c r="AN117" s="28"/>
      <c r="AO117" s="29"/>
      <c r="AP117" s="94" t="s">
        <v>83</v>
      </c>
      <c r="AQ117" s="29"/>
      <c r="AR117" s="18" t="e">
        <f>COUNTIF(#REF!,$K$1)</f>
        <v>#REF!</v>
      </c>
      <c r="AS117" s="18" t="s">
        <v>114</v>
      </c>
    </row>
    <row r="118" spans="1:45" s="30" customFormat="1" ht="234.75" thickBot="1" x14ac:dyDescent="0.25">
      <c r="A118" s="38">
        <v>98</v>
      </c>
      <c r="B118" s="36" t="s">
        <v>41</v>
      </c>
      <c r="C118" s="17"/>
      <c r="D118" s="17" t="s">
        <v>27</v>
      </c>
      <c r="E118" s="17"/>
      <c r="F118" s="17"/>
      <c r="G118" s="17"/>
      <c r="H118" s="17"/>
      <c r="I118" s="17"/>
      <c r="J118" s="17"/>
      <c r="K118" s="17" t="s">
        <v>27</v>
      </c>
      <c r="L118" s="62">
        <f t="shared" si="21"/>
        <v>1</v>
      </c>
      <c r="M118" s="62" t="s">
        <v>239</v>
      </c>
      <c r="N118" s="38" t="s">
        <v>153</v>
      </c>
      <c r="O118" s="106">
        <v>0.19444444444444445</v>
      </c>
      <c r="P118" s="61" t="s">
        <v>200</v>
      </c>
      <c r="Q118" s="48"/>
      <c r="R118" s="61" t="s">
        <v>231</v>
      </c>
      <c r="S118" s="101" t="s">
        <v>234</v>
      </c>
      <c r="T118" s="118" t="s">
        <v>237</v>
      </c>
      <c r="U118" s="107"/>
      <c r="V118" s="97"/>
      <c r="W118" s="111"/>
      <c r="X118" s="112"/>
      <c r="Y118" s="98"/>
      <c r="Z118" s="99"/>
      <c r="AA118" s="25"/>
      <c r="AB118" s="72"/>
      <c r="AC118" s="73"/>
      <c r="AD118" s="68"/>
      <c r="AE118" s="100"/>
      <c r="AF118" s="50"/>
      <c r="AG118" s="21"/>
      <c r="AH118" s="22"/>
      <c r="AI118" s="23"/>
      <c r="AJ118" s="24"/>
      <c r="AK118" s="25"/>
      <c r="AL118" s="26"/>
      <c r="AM118" s="27"/>
      <c r="AN118" s="28"/>
      <c r="AO118" s="29"/>
      <c r="AP118" s="94"/>
      <c r="AQ118" s="40"/>
      <c r="AR118" s="18"/>
      <c r="AS118" s="18"/>
    </row>
    <row r="119" spans="1:45" s="30" customFormat="1" ht="234.75" thickBot="1" x14ac:dyDescent="0.25">
      <c r="A119" s="38">
        <v>99</v>
      </c>
      <c r="B119" s="36" t="s">
        <v>41</v>
      </c>
      <c r="C119" s="17"/>
      <c r="D119" s="17" t="s">
        <v>27</v>
      </c>
      <c r="E119" s="17"/>
      <c r="F119" s="17"/>
      <c r="G119" s="17"/>
      <c r="H119" s="17"/>
      <c r="I119" s="17"/>
      <c r="J119" s="17"/>
      <c r="K119" s="17" t="s">
        <v>27</v>
      </c>
      <c r="L119" s="62">
        <f>COUNTA(E119:K119)</f>
        <v>1</v>
      </c>
      <c r="M119" s="62" t="s">
        <v>239</v>
      </c>
      <c r="N119" s="38" t="s">
        <v>153</v>
      </c>
      <c r="O119" s="106">
        <v>0.20486111111111113</v>
      </c>
      <c r="P119" s="61" t="s">
        <v>199</v>
      </c>
      <c r="Q119" s="48"/>
      <c r="R119" s="61" t="s">
        <v>231</v>
      </c>
      <c r="S119" s="101" t="s">
        <v>235</v>
      </c>
      <c r="T119" s="118" t="s">
        <v>237</v>
      </c>
      <c r="U119" s="107"/>
      <c r="V119" s="97"/>
      <c r="W119" s="111"/>
      <c r="X119" s="112"/>
      <c r="Y119" s="98"/>
      <c r="Z119" s="99"/>
      <c r="AA119" s="25"/>
      <c r="AB119" s="72"/>
      <c r="AC119" s="73"/>
      <c r="AD119" s="68"/>
      <c r="AE119" s="100"/>
      <c r="AF119" s="50"/>
      <c r="AG119" s="21"/>
      <c r="AH119" s="22"/>
      <c r="AI119" s="23"/>
      <c r="AJ119" s="24"/>
      <c r="AK119" s="25"/>
      <c r="AL119" s="26"/>
      <c r="AM119" s="27"/>
      <c r="AN119" s="28"/>
      <c r="AO119" s="29"/>
      <c r="AP119" s="94"/>
      <c r="AQ119" s="40"/>
      <c r="AR119" s="18"/>
      <c r="AS119" s="18"/>
    </row>
    <row r="120" spans="1:45" s="30" customFormat="1" ht="78.75" customHeight="1" thickBot="1" x14ac:dyDescent="0.25">
      <c r="A120" s="38">
        <v>100</v>
      </c>
      <c r="B120" s="36" t="s">
        <v>41</v>
      </c>
      <c r="C120" s="17"/>
      <c r="D120" s="17" t="s">
        <v>27</v>
      </c>
      <c r="E120" s="17" t="s">
        <v>27</v>
      </c>
      <c r="F120" s="17" t="s">
        <v>27</v>
      </c>
      <c r="G120" s="17" t="s">
        <v>27</v>
      </c>
      <c r="H120" s="17" t="s">
        <v>27</v>
      </c>
      <c r="I120" s="17" t="s">
        <v>27</v>
      </c>
      <c r="J120" s="17" t="s">
        <v>27</v>
      </c>
      <c r="K120" s="17" t="s">
        <v>27</v>
      </c>
      <c r="L120" s="62">
        <f t="shared" si="21"/>
        <v>7</v>
      </c>
      <c r="M120" s="62" t="s">
        <v>239</v>
      </c>
      <c r="N120" s="38" t="s">
        <v>152</v>
      </c>
      <c r="O120" s="106">
        <v>0.21875</v>
      </c>
      <c r="P120" s="48" t="s">
        <v>30</v>
      </c>
      <c r="Q120" s="61"/>
      <c r="R120" s="44" t="s">
        <v>106</v>
      </c>
      <c r="S120" s="114" t="s">
        <v>191</v>
      </c>
      <c r="T120" s="30" t="s">
        <v>238</v>
      </c>
      <c r="U120" s="107"/>
      <c r="V120" s="115"/>
      <c r="W120" s="116"/>
      <c r="X120" s="112"/>
      <c r="Y120" s="98"/>
      <c r="Z120" s="99"/>
      <c r="AA120" s="25" t="str">
        <f t="shared" si="22"/>
        <v xml:space="preserve">GC </v>
      </c>
      <c r="AB120" s="113"/>
      <c r="AC120" s="73"/>
      <c r="AD120" s="68"/>
      <c r="AE120" s="100"/>
      <c r="AF120" s="50"/>
      <c r="AG120" s="21"/>
      <c r="AH120" s="22"/>
      <c r="AI120" s="23"/>
      <c r="AJ120" s="24"/>
      <c r="AK120" s="25"/>
      <c r="AL120" s="25"/>
      <c r="AM120" s="27"/>
      <c r="AN120" s="28"/>
      <c r="AO120" s="29"/>
      <c r="AP120" s="94"/>
      <c r="AQ120" s="29"/>
      <c r="AR120" s="18"/>
      <c r="AS120" s="18"/>
    </row>
    <row r="121" spans="1:45" s="30" customFormat="1" ht="78.75" customHeight="1" thickBot="1" x14ac:dyDescent="0.25">
      <c r="A121" s="38">
        <v>101</v>
      </c>
      <c r="B121" s="36" t="s">
        <v>41</v>
      </c>
      <c r="C121" s="17"/>
      <c r="D121" s="17" t="s">
        <v>27</v>
      </c>
      <c r="E121" s="43" t="s">
        <v>27</v>
      </c>
      <c r="F121" s="43" t="s">
        <v>27</v>
      </c>
      <c r="G121" s="43" t="s">
        <v>27</v>
      </c>
      <c r="H121" s="43" t="s">
        <v>27</v>
      </c>
      <c r="I121" s="43" t="s">
        <v>27</v>
      </c>
      <c r="J121" s="77" t="s">
        <v>27</v>
      </c>
      <c r="K121" s="77" t="s">
        <v>27</v>
      </c>
      <c r="L121" s="62">
        <f t="shared" si="21"/>
        <v>7</v>
      </c>
      <c r="M121" s="62" t="s">
        <v>239</v>
      </c>
      <c r="N121" s="38" t="s">
        <v>153</v>
      </c>
      <c r="O121" s="106">
        <v>0.25347222222222221</v>
      </c>
      <c r="P121" s="61" t="s">
        <v>77</v>
      </c>
      <c r="Q121" s="61" t="s">
        <v>66</v>
      </c>
      <c r="R121" s="61" t="s">
        <v>128</v>
      </c>
      <c r="S121" s="101" t="s">
        <v>206</v>
      </c>
      <c r="T121" s="30" t="s">
        <v>238</v>
      </c>
      <c r="U121" s="107"/>
      <c r="V121" s="97"/>
      <c r="W121" s="111"/>
      <c r="X121" s="112"/>
      <c r="Y121" s="98"/>
      <c r="Z121" s="99"/>
      <c r="AA121" s="25" t="str">
        <f t="shared" si="22"/>
        <v xml:space="preserve">GC </v>
      </c>
      <c r="AB121" s="72"/>
      <c r="AC121" s="73"/>
      <c r="AD121" s="68"/>
      <c r="AE121" s="100"/>
      <c r="AF121" s="50" t="s">
        <v>0</v>
      </c>
      <c r="AG121" s="21"/>
      <c r="AH121" s="22"/>
      <c r="AI121" s="23"/>
      <c r="AJ121" s="24"/>
      <c r="AK121" s="25"/>
      <c r="AL121" s="26"/>
      <c r="AM121" s="27"/>
      <c r="AN121" s="28"/>
      <c r="AO121" s="29"/>
      <c r="AP121" s="94" t="s">
        <v>158</v>
      </c>
      <c r="AQ121" s="29"/>
      <c r="AR121" s="18" t="s">
        <v>130</v>
      </c>
      <c r="AS121" s="18" t="s">
        <v>114</v>
      </c>
    </row>
    <row r="122" spans="1:45" s="30" customFormat="1" ht="78.75" customHeight="1" thickBot="1" x14ac:dyDescent="0.25">
      <c r="A122" s="38">
        <v>102</v>
      </c>
      <c r="B122" s="36" t="s">
        <v>41</v>
      </c>
      <c r="C122" s="17"/>
      <c r="D122" s="17" t="s">
        <v>27</v>
      </c>
      <c r="E122" s="17" t="s">
        <v>27</v>
      </c>
      <c r="F122" s="17" t="s">
        <v>27</v>
      </c>
      <c r="G122" s="17" t="s">
        <v>27</v>
      </c>
      <c r="H122" s="17" t="s">
        <v>27</v>
      </c>
      <c r="I122" s="17" t="s">
        <v>27</v>
      </c>
      <c r="J122" s="17" t="s">
        <v>27</v>
      </c>
      <c r="K122" s="17" t="s">
        <v>27</v>
      </c>
      <c r="L122" s="62">
        <f t="shared" si="21"/>
        <v>7</v>
      </c>
      <c r="M122" s="62" t="s">
        <v>239</v>
      </c>
      <c r="N122" s="38" t="s">
        <v>152</v>
      </c>
      <c r="O122" s="106">
        <v>0.26041666666666669</v>
      </c>
      <c r="P122" s="61" t="s">
        <v>63</v>
      </c>
      <c r="Q122" s="61" t="s">
        <v>66</v>
      </c>
      <c r="R122" s="61" t="s">
        <v>62</v>
      </c>
      <c r="S122" s="101" t="s">
        <v>179</v>
      </c>
      <c r="T122" s="30" t="s">
        <v>238</v>
      </c>
      <c r="U122" s="107"/>
      <c r="V122" s="97"/>
      <c r="W122" s="111"/>
      <c r="X122" s="112"/>
      <c r="Y122" s="98"/>
      <c r="Z122" s="99"/>
      <c r="AA122" s="25" t="str">
        <f t="shared" si="22"/>
        <v xml:space="preserve">GC </v>
      </c>
      <c r="AB122" s="72">
        <v>0.16666666666666666</v>
      </c>
      <c r="AC122" s="73">
        <v>0.17013888888888887</v>
      </c>
      <c r="AD122" s="68">
        <v>3.4722222222222099E-3</v>
      </c>
      <c r="AE122" s="100"/>
      <c r="AF122" s="50" t="s">
        <v>124</v>
      </c>
      <c r="AG122" s="94" t="s">
        <v>155</v>
      </c>
      <c r="AH122" s="22" t="s">
        <v>154</v>
      </c>
      <c r="AI122" s="23" t="s">
        <v>65</v>
      </c>
      <c r="AJ122" s="24">
        <v>1</v>
      </c>
      <c r="AK122" s="25"/>
      <c r="AL122" s="26"/>
      <c r="AM122" s="27"/>
      <c r="AN122" s="28"/>
      <c r="AO122" s="29"/>
      <c r="AP122" s="94" t="s">
        <v>155</v>
      </c>
      <c r="AQ122" s="40"/>
      <c r="AR122" s="18" t="s">
        <v>129</v>
      </c>
      <c r="AS122" s="18" t="s">
        <v>114</v>
      </c>
    </row>
    <row r="123" spans="1:45" s="30" customFormat="1" ht="78.75" customHeight="1" x14ac:dyDescent="0.2">
      <c r="A123" s="38">
        <v>103</v>
      </c>
      <c r="B123" s="36" t="s">
        <v>41</v>
      </c>
      <c r="C123" s="17"/>
      <c r="D123" s="17" t="s">
        <v>27</v>
      </c>
      <c r="E123" s="17" t="s">
        <v>27</v>
      </c>
      <c r="F123" s="17" t="s">
        <v>27</v>
      </c>
      <c r="G123" s="17" t="s">
        <v>27</v>
      </c>
      <c r="H123" s="17" t="s">
        <v>27</v>
      </c>
      <c r="I123" s="17" t="s">
        <v>27</v>
      </c>
      <c r="J123" s="17" t="s">
        <v>27</v>
      </c>
      <c r="K123" s="17" t="s">
        <v>27</v>
      </c>
      <c r="L123" s="62">
        <f t="shared" si="21"/>
        <v>7</v>
      </c>
      <c r="M123" s="62" t="s">
        <v>239</v>
      </c>
      <c r="N123" s="38" t="s">
        <v>152</v>
      </c>
      <c r="O123" s="106">
        <v>0.28472222222222221</v>
      </c>
      <c r="P123" s="37" t="s">
        <v>77</v>
      </c>
      <c r="Q123" s="61" t="s">
        <v>66</v>
      </c>
      <c r="R123" s="61" t="s">
        <v>69</v>
      </c>
      <c r="S123" s="101" t="s">
        <v>119</v>
      </c>
      <c r="T123" s="30" t="s">
        <v>238</v>
      </c>
      <c r="U123" s="107"/>
      <c r="V123" s="97"/>
      <c r="W123" s="111"/>
      <c r="X123" s="112"/>
      <c r="Y123" s="98"/>
      <c r="Z123" s="99"/>
      <c r="AA123" s="25" t="str">
        <f t="shared" si="22"/>
        <v xml:space="preserve">GC </v>
      </c>
      <c r="AB123" s="72">
        <v>0.28472222222222221</v>
      </c>
      <c r="AC123" s="73">
        <v>0.29166666666666669</v>
      </c>
      <c r="AD123" s="68">
        <v>6.9444444444444753E-3</v>
      </c>
      <c r="AE123" s="100"/>
      <c r="AF123" s="50" t="s">
        <v>0</v>
      </c>
      <c r="AG123" s="94" t="s">
        <v>28</v>
      </c>
      <c r="AH123" s="22"/>
      <c r="AI123" s="23"/>
      <c r="AJ123" s="24"/>
      <c r="AK123" s="25"/>
      <c r="AL123" s="26"/>
      <c r="AM123" s="27"/>
      <c r="AN123" s="28"/>
      <c r="AO123" s="29"/>
      <c r="AP123" s="94" t="s">
        <v>28</v>
      </c>
      <c r="AQ123" s="40"/>
      <c r="AR123" s="18" t="s">
        <v>130</v>
      </c>
      <c r="AS123" s="18" t="s">
        <v>114</v>
      </c>
    </row>
    <row r="128" spans="1:45" x14ac:dyDescent="0.2">
      <c r="O128" s="60"/>
      <c r="P128" s="60"/>
      <c r="Q128" s="60"/>
      <c r="R128" s="60"/>
    </row>
  </sheetData>
  <autoFilter ref="A20:AT123"/>
  <sortState ref="A169:AR209">
    <sortCondition ref="O169:O209"/>
  </sortState>
  <dataConsolidate/>
  <mergeCells count="4">
    <mergeCell ref="E19:K19"/>
    <mergeCell ref="O4:Q4"/>
    <mergeCell ref="N2:Z2"/>
    <mergeCell ref="B16:I16"/>
  </mergeCells>
  <phoneticPr fontId="0" type="noConversion"/>
  <conditionalFormatting sqref="AJ25:AM26 AJ22:AM23 AJ114:AM117 AJ94:AM101 AJ120:AM123 AJ89:AM92 AJ29:AM30 AJ32:AM32 AJ59:AM59 AJ61:AM72 AJ83:AM84 AJ34:AM35 AJ74:AM79">
    <cfRule type="cellIs" dxfId="547" priority="1654" stopIfTrue="1" operator="equal">
      <formula>"N/A"</formula>
    </cfRule>
    <cfRule type="cellIs" dxfId="546" priority="1655" stopIfTrue="1" operator="equal">
      <formula>1</formula>
    </cfRule>
    <cfRule type="cellIs" dxfId="545" priority="1656" stopIfTrue="1" operator="equal">
      <formula>2</formula>
    </cfRule>
  </conditionalFormatting>
  <conditionalFormatting sqref="AG25:AI26 AG22:AI23 AG114:AI117 AG94:AI101 AG120:AI123 AG89:AI92 AG29:AI30 AG32:AI32 AG59:AI59 AG61:AI72 AG83:AI84 AG34:AI35 AG74:AI79">
    <cfRule type="cellIs" dxfId="544" priority="1659" stopIfTrue="1" operator="equal">
      <formula>"N/A"</formula>
    </cfRule>
    <cfRule type="cellIs" dxfId="543" priority="1660" stopIfTrue="1" operator="equal">
      <formula>"M"</formula>
    </cfRule>
    <cfRule type="cellIs" dxfId="542" priority="1661" stopIfTrue="1" operator="equal">
      <formula>"O"</formula>
    </cfRule>
  </conditionalFormatting>
  <conditionalFormatting sqref="O16">
    <cfRule type="cellIs" dxfId="541" priority="1662" stopIfTrue="1" operator="equal">
      <formula>"NOCHE A"</formula>
    </cfRule>
    <cfRule type="cellIs" dxfId="540" priority="1663" stopIfTrue="1" operator="equal">
      <formula>"NOCHE B"</formula>
    </cfRule>
  </conditionalFormatting>
  <conditionalFormatting sqref="AJ21:AM21">
    <cfRule type="cellIs" dxfId="539" priority="1494" stopIfTrue="1" operator="equal">
      <formula>"N/A"</formula>
    </cfRule>
    <cfRule type="cellIs" dxfId="538" priority="1495" stopIfTrue="1" operator="equal">
      <formula>1</formula>
    </cfRule>
    <cfRule type="cellIs" dxfId="537" priority="1496" stopIfTrue="1" operator="equal">
      <formula>2</formula>
    </cfRule>
  </conditionalFormatting>
  <conditionalFormatting sqref="AG21:AI21">
    <cfRule type="cellIs" dxfId="536" priority="1499" stopIfTrue="1" operator="equal">
      <formula>"N/A"</formula>
    </cfRule>
    <cfRule type="cellIs" dxfId="535" priority="1500" stopIfTrue="1" operator="equal">
      <formula>"M"</formula>
    </cfRule>
    <cfRule type="cellIs" dxfId="534" priority="1501" stopIfTrue="1" operator="equal">
      <formula>"O"</formula>
    </cfRule>
  </conditionalFormatting>
  <conditionalFormatting sqref="AJ24:AM24">
    <cfRule type="cellIs" dxfId="533" priority="1458" stopIfTrue="1" operator="equal">
      <formula>"N/A"</formula>
    </cfRule>
    <cfRule type="cellIs" dxfId="532" priority="1459" stopIfTrue="1" operator="equal">
      <formula>1</formula>
    </cfRule>
    <cfRule type="cellIs" dxfId="531" priority="1460" stopIfTrue="1" operator="equal">
      <formula>2</formula>
    </cfRule>
  </conditionalFormatting>
  <conditionalFormatting sqref="AG24:AI24">
    <cfRule type="cellIs" dxfId="530" priority="1462" stopIfTrue="1" operator="equal">
      <formula>"N/A"</formula>
    </cfRule>
    <cfRule type="cellIs" dxfId="529" priority="1463" stopIfTrue="1" operator="equal">
      <formula>"M"</formula>
    </cfRule>
    <cfRule type="cellIs" dxfId="528" priority="1464" stopIfTrue="1" operator="equal">
      <formula>"O"</formula>
    </cfRule>
  </conditionalFormatting>
  <conditionalFormatting sqref="AJ102:AM103">
    <cfRule type="cellIs" dxfId="527" priority="1314" stopIfTrue="1" operator="equal">
      <formula>"N/A"</formula>
    </cfRule>
    <cfRule type="cellIs" dxfId="526" priority="1315" stopIfTrue="1" operator="equal">
      <formula>1</formula>
    </cfRule>
    <cfRule type="cellIs" dxfId="525" priority="1316" stopIfTrue="1" operator="equal">
      <formula>2</formula>
    </cfRule>
  </conditionalFormatting>
  <conditionalFormatting sqref="AG102:AI103">
    <cfRule type="cellIs" dxfId="524" priority="1311" stopIfTrue="1" operator="equal">
      <formula>"N/A"</formula>
    </cfRule>
    <cfRule type="cellIs" dxfId="523" priority="1312" stopIfTrue="1" operator="equal">
      <formula>"M"</formula>
    </cfRule>
    <cfRule type="cellIs" dxfId="522" priority="1313" stopIfTrue="1" operator="equal">
      <formula>"O"</formula>
    </cfRule>
  </conditionalFormatting>
  <conditionalFormatting sqref="AJ104:AM105">
    <cfRule type="cellIs" dxfId="521" priority="1276" stopIfTrue="1" operator="equal">
      <formula>"N/A"</formula>
    </cfRule>
    <cfRule type="cellIs" dxfId="520" priority="1277" stopIfTrue="1" operator="equal">
      <formula>1</formula>
    </cfRule>
    <cfRule type="cellIs" dxfId="519" priority="1278" stopIfTrue="1" operator="equal">
      <formula>2</formula>
    </cfRule>
  </conditionalFormatting>
  <conditionalFormatting sqref="AG104:AI105">
    <cfRule type="cellIs" dxfId="518" priority="1273" stopIfTrue="1" operator="equal">
      <formula>"N/A"</formula>
    </cfRule>
    <cfRule type="cellIs" dxfId="517" priority="1274" stopIfTrue="1" operator="equal">
      <formula>"M"</formula>
    </cfRule>
    <cfRule type="cellIs" dxfId="516" priority="1275" stopIfTrue="1" operator="equal">
      <formula>"O"</formula>
    </cfRule>
  </conditionalFormatting>
  <conditionalFormatting sqref="AJ106:AM107">
    <cfRule type="cellIs" dxfId="515" priority="1268" stopIfTrue="1" operator="equal">
      <formula>"N/A"</formula>
    </cfRule>
    <cfRule type="cellIs" dxfId="514" priority="1269" stopIfTrue="1" operator="equal">
      <formula>1</formula>
    </cfRule>
    <cfRule type="cellIs" dxfId="513" priority="1270" stopIfTrue="1" operator="equal">
      <formula>2</formula>
    </cfRule>
  </conditionalFormatting>
  <conditionalFormatting sqref="AG106:AI107">
    <cfRule type="cellIs" dxfId="512" priority="1265" stopIfTrue="1" operator="equal">
      <formula>"N/A"</formula>
    </cfRule>
    <cfRule type="cellIs" dxfId="511" priority="1266" stopIfTrue="1" operator="equal">
      <formula>"M"</formula>
    </cfRule>
    <cfRule type="cellIs" dxfId="510" priority="1267" stopIfTrue="1" operator="equal">
      <formula>"O"</formula>
    </cfRule>
  </conditionalFormatting>
  <conditionalFormatting sqref="AJ109:AM109">
    <cfRule type="cellIs" dxfId="509" priority="1237" stopIfTrue="1" operator="equal">
      <formula>"N/A"</formula>
    </cfRule>
    <cfRule type="cellIs" dxfId="508" priority="1238" stopIfTrue="1" operator="equal">
      <formula>1</formula>
    </cfRule>
    <cfRule type="cellIs" dxfId="507" priority="1239" stopIfTrue="1" operator="equal">
      <formula>2</formula>
    </cfRule>
  </conditionalFormatting>
  <conditionalFormatting sqref="AG109:AI109">
    <cfRule type="cellIs" dxfId="506" priority="1234" stopIfTrue="1" operator="equal">
      <formula>"N/A"</formula>
    </cfRule>
    <cfRule type="cellIs" dxfId="505" priority="1235" stopIfTrue="1" operator="equal">
      <formula>"M"</formula>
    </cfRule>
    <cfRule type="cellIs" dxfId="504" priority="1236" stopIfTrue="1" operator="equal">
      <formula>"O"</formula>
    </cfRule>
  </conditionalFormatting>
  <conditionalFormatting sqref="AJ110:AM110">
    <cfRule type="cellIs" dxfId="503" priority="1063" stopIfTrue="1" operator="equal">
      <formula>"N/A"</formula>
    </cfRule>
    <cfRule type="cellIs" dxfId="502" priority="1064" stopIfTrue="1" operator="equal">
      <formula>1</formula>
    </cfRule>
    <cfRule type="cellIs" dxfId="501" priority="1065" stopIfTrue="1" operator="equal">
      <formula>2</formula>
    </cfRule>
  </conditionalFormatting>
  <conditionalFormatting sqref="AG110:AI110">
    <cfRule type="cellIs" dxfId="500" priority="1060" stopIfTrue="1" operator="equal">
      <formula>"N/A"</formula>
    </cfRule>
    <cfRule type="cellIs" dxfId="499" priority="1061" stopIfTrue="1" operator="equal">
      <formula>"M"</formula>
    </cfRule>
    <cfRule type="cellIs" dxfId="498" priority="1062" stopIfTrue="1" operator="equal">
      <formula>"O"</formula>
    </cfRule>
  </conditionalFormatting>
  <conditionalFormatting sqref="AJ111:AM113">
    <cfRule type="cellIs" dxfId="497" priority="1004" stopIfTrue="1" operator="equal">
      <formula>"N/A"</formula>
    </cfRule>
    <cfRule type="cellIs" dxfId="496" priority="1005" stopIfTrue="1" operator="equal">
      <formula>1</formula>
    </cfRule>
    <cfRule type="cellIs" dxfId="495" priority="1006" stopIfTrue="1" operator="equal">
      <formula>2</formula>
    </cfRule>
  </conditionalFormatting>
  <conditionalFormatting sqref="AG112:AI113 AH111:AI111">
    <cfRule type="cellIs" dxfId="494" priority="1001" stopIfTrue="1" operator="equal">
      <formula>"N/A"</formula>
    </cfRule>
    <cfRule type="cellIs" dxfId="493" priority="1002" stopIfTrue="1" operator="equal">
      <formula>"M"</formula>
    </cfRule>
    <cfRule type="cellIs" dxfId="492" priority="1003" stopIfTrue="1" operator="equal">
      <formula>"O"</formula>
    </cfRule>
  </conditionalFormatting>
  <conditionalFormatting sqref="AJ85:AM85">
    <cfRule type="cellIs" dxfId="491" priority="934" stopIfTrue="1" operator="equal">
      <formula>"N/A"</formula>
    </cfRule>
    <cfRule type="cellIs" dxfId="490" priority="935" stopIfTrue="1" operator="equal">
      <formula>1</formula>
    </cfRule>
    <cfRule type="cellIs" dxfId="489" priority="936" stopIfTrue="1" operator="equal">
      <formula>2</formula>
    </cfRule>
  </conditionalFormatting>
  <conditionalFormatting sqref="AG85:AI85">
    <cfRule type="cellIs" dxfId="488" priority="937" stopIfTrue="1" operator="equal">
      <formula>"N/A"</formula>
    </cfRule>
    <cfRule type="cellIs" dxfId="487" priority="938" stopIfTrue="1" operator="equal">
      <formula>"M"</formula>
    </cfRule>
    <cfRule type="cellIs" dxfId="486" priority="939" stopIfTrue="1" operator="equal">
      <formula>"O"</formula>
    </cfRule>
  </conditionalFormatting>
  <conditionalFormatting sqref="AJ86:AM86">
    <cfRule type="cellIs" dxfId="485" priority="901" stopIfTrue="1" operator="equal">
      <formula>"N/A"</formula>
    </cfRule>
    <cfRule type="cellIs" dxfId="484" priority="902" stopIfTrue="1" operator="equal">
      <formula>1</formula>
    </cfRule>
    <cfRule type="cellIs" dxfId="483" priority="903" stopIfTrue="1" operator="equal">
      <formula>2</formula>
    </cfRule>
  </conditionalFormatting>
  <conditionalFormatting sqref="AG86:AI86">
    <cfRule type="cellIs" dxfId="482" priority="904" stopIfTrue="1" operator="equal">
      <formula>"N/A"</formula>
    </cfRule>
    <cfRule type="cellIs" dxfId="481" priority="905" stopIfTrue="1" operator="equal">
      <formula>"M"</formula>
    </cfRule>
    <cfRule type="cellIs" dxfId="480" priority="906" stopIfTrue="1" operator="equal">
      <formula>"O"</formula>
    </cfRule>
  </conditionalFormatting>
  <conditionalFormatting sqref="AJ93:AM93">
    <cfRule type="cellIs" dxfId="479" priority="869" stopIfTrue="1" operator="equal">
      <formula>"N/A"</formula>
    </cfRule>
    <cfRule type="cellIs" dxfId="478" priority="870" stopIfTrue="1" operator="equal">
      <formula>1</formula>
    </cfRule>
    <cfRule type="cellIs" dxfId="477" priority="871" stopIfTrue="1" operator="equal">
      <formula>2</formula>
    </cfRule>
  </conditionalFormatting>
  <conditionalFormatting sqref="AG93:AI93">
    <cfRule type="cellIs" dxfId="476" priority="874" stopIfTrue="1" operator="equal">
      <formula>"N/A"</formula>
    </cfRule>
    <cfRule type="cellIs" dxfId="475" priority="875" stopIfTrue="1" operator="equal">
      <formula>"M"</formula>
    </cfRule>
    <cfRule type="cellIs" dxfId="474" priority="876" stopIfTrue="1" operator="equal">
      <formula>"O"</formula>
    </cfRule>
  </conditionalFormatting>
  <conditionalFormatting sqref="AJ28:AM28">
    <cfRule type="cellIs" dxfId="473" priority="812" stopIfTrue="1" operator="equal">
      <formula>"N/A"</formula>
    </cfRule>
    <cfRule type="cellIs" dxfId="472" priority="813" stopIfTrue="1" operator="equal">
      <formula>1</formula>
    </cfRule>
    <cfRule type="cellIs" dxfId="471" priority="814" stopIfTrue="1" operator="equal">
      <formula>2</formula>
    </cfRule>
  </conditionalFormatting>
  <conditionalFormatting sqref="AG28:AI28">
    <cfRule type="cellIs" dxfId="470" priority="817" stopIfTrue="1" operator="equal">
      <formula>"N/A"</formula>
    </cfRule>
    <cfRule type="cellIs" dxfId="469" priority="818" stopIfTrue="1" operator="equal">
      <formula>"M"</formula>
    </cfRule>
    <cfRule type="cellIs" dxfId="468" priority="819" stopIfTrue="1" operator="equal">
      <formula>"O"</formula>
    </cfRule>
  </conditionalFormatting>
  <conditionalFormatting sqref="AJ60:AM60">
    <cfRule type="cellIs" dxfId="467" priority="802" stopIfTrue="1" operator="equal">
      <formula>"N/A"</formula>
    </cfRule>
    <cfRule type="cellIs" dxfId="466" priority="803" stopIfTrue="1" operator="equal">
      <formula>1</formula>
    </cfRule>
    <cfRule type="cellIs" dxfId="465" priority="804" stopIfTrue="1" operator="equal">
      <formula>2</formula>
    </cfRule>
  </conditionalFormatting>
  <conditionalFormatting sqref="AG60:AI60">
    <cfRule type="cellIs" dxfId="464" priority="807" stopIfTrue="1" operator="equal">
      <formula>"N/A"</formula>
    </cfRule>
    <cfRule type="cellIs" dxfId="463" priority="808" stopIfTrue="1" operator="equal">
      <formula>"M"</formula>
    </cfRule>
    <cfRule type="cellIs" dxfId="462" priority="809" stopIfTrue="1" operator="equal">
      <formula>"O"</formula>
    </cfRule>
  </conditionalFormatting>
  <conditionalFormatting sqref="AJ87:AM88">
    <cfRule type="cellIs" dxfId="461" priority="763" stopIfTrue="1" operator="equal">
      <formula>"N/A"</formula>
    </cfRule>
    <cfRule type="cellIs" dxfId="460" priority="764" stopIfTrue="1" operator="equal">
      <formula>1</formula>
    </cfRule>
    <cfRule type="cellIs" dxfId="459" priority="765" stopIfTrue="1" operator="equal">
      <formula>2</formula>
    </cfRule>
  </conditionalFormatting>
  <conditionalFormatting sqref="AG87:AI88">
    <cfRule type="cellIs" dxfId="458" priority="768" stopIfTrue="1" operator="equal">
      <formula>"N/A"</formula>
    </cfRule>
    <cfRule type="cellIs" dxfId="457" priority="769" stopIfTrue="1" operator="equal">
      <formula>"M"</formula>
    </cfRule>
    <cfRule type="cellIs" dxfId="456" priority="770" stopIfTrue="1" operator="equal">
      <formula>"O"</formula>
    </cfRule>
  </conditionalFormatting>
  <conditionalFormatting sqref="E29:K29 C28:D28 C26:K26 C21:D25 E114:K114 C111:D116 C99:C107 C32:K32 C93:D95 E93:K93 C59:K62 C79:K79 C83:K90 C34:K35 E21:K24">
    <cfRule type="cellIs" dxfId="455" priority="603" stopIfTrue="1" operator="notEqual">
      <formula>"X"</formula>
    </cfRule>
  </conditionalFormatting>
  <conditionalFormatting sqref="P29:R30 Q26 Q35 Q62 P21:R24 R90 P32:R32 P34:R34 Q59:R59 Q85 P83:Q84">
    <cfRule type="cellIs" dxfId="454" priority="602" stopIfTrue="1" operator="equal">
      <formula>"N/A"</formula>
    </cfRule>
  </conditionalFormatting>
  <conditionalFormatting sqref="M21:M123">
    <cfRule type="cellIs" dxfId="453" priority="601" operator="equal">
      <formula>"ACTIVA"</formula>
    </cfRule>
  </conditionalFormatting>
  <conditionalFormatting sqref="P25:R25">
    <cfRule type="cellIs" dxfId="452" priority="600" stopIfTrue="1" operator="equal">
      <formula>"N/A"</formula>
    </cfRule>
  </conditionalFormatting>
  <conditionalFormatting sqref="E25:K25 E28:K28">
    <cfRule type="cellIs" dxfId="451" priority="599" stopIfTrue="1" operator="notEqual">
      <formula>"X"</formula>
    </cfRule>
  </conditionalFormatting>
  <conditionalFormatting sqref="E25:K25 E28:K28">
    <cfRule type="cellIs" dxfId="450" priority="598" stopIfTrue="1" operator="notEqual">
      <formula>"X"</formula>
    </cfRule>
  </conditionalFormatting>
  <conditionalFormatting sqref="R26">
    <cfRule type="cellIs" dxfId="449" priority="597" stopIfTrue="1" operator="equal">
      <formula>"N/A"</formula>
    </cfRule>
  </conditionalFormatting>
  <conditionalFormatting sqref="R35">
    <cfRule type="cellIs" dxfId="448" priority="596" stopIfTrue="1" operator="equal">
      <formula>"N/A"</formula>
    </cfRule>
  </conditionalFormatting>
  <conditionalFormatting sqref="D30 C29:D29">
    <cfRule type="cellIs" dxfId="447" priority="591" stopIfTrue="1" operator="notEqual">
      <formula>"X"</formula>
    </cfRule>
  </conditionalFormatting>
  <conditionalFormatting sqref="E30:K30">
    <cfRule type="cellIs" dxfId="446" priority="590" stopIfTrue="1" operator="notEqual">
      <formula>"X"</formula>
    </cfRule>
  </conditionalFormatting>
  <conditionalFormatting sqref="C30">
    <cfRule type="cellIs" dxfId="445" priority="589" stopIfTrue="1" operator="notEqual">
      <formula>"X"</formula>
    </cfRule>
  </conditionalFormatting>
  <conditionalFormatting sqref="P28:Q28">
    <cfRule type="cellIs" dxfId="444" priority="588" stopIfTrue="1" operator="equal">
      <formula>"N/A"</formula>
    </cfRule>
  </conditionalFormatting>
  <conditionalFormatting sqref="P60:Q60">
    <cfRule type="cellIs" dxfId="443" priority="584" stopIfTrue="1" operator="equal">
      <formula>"N/A"</formula>
    </cfRule>
  </conditionalFormatting>
  <conditionalFormatting sqref="P61:Q61">
    <cfRule type="cellIs" dxfId="442" priority="583" stopIfTrue="1" operator="equal">
      <formula>"N/A"</formula>
    </cfRule>
  </conditionalFormatting>
  <conditionalFormatting sqref="R28">
    <cfRule type="cellIs" dxfId="441" priority="582" stopIfTrue="1" operator="equal">
      <formula>"N/A"</formula>
    </cfRule>
  </conditionalFormatting>
  <conditionalFormatting sqref="R60">
    <cfRule type="cellIs" dxfId="440" priority="580" stopIfTrue="1" operator="equal">
      <formula>"N/A"</formula>
    </cfRule>
  </conditionalFormatting>
  <conditionalFormatting sqref="R61">
    <cfRule type="cellIs" dxfId="439" priority="579" stopIfTrue="1" operator="equal">
      <formula>"N/A"</formula>
    </cfRule>
  </conditionalFormatting>
  <conditionalFormatting sqref="E78:K78 C75:D78 C63:K72 C74:K74">
    <cfRule type="cellIs" dxfId="438" priority="578" stopIfTrue="1" operator="notEqual">
      <formula>"X"</formula>
    </cfRule>
  </conditionalFormatting>
  <conditionalFormatting sqref="R68 P71:R71 R64 P78:R79 R85 P86:R86 Q63:Q70 Q72:R72 P87:Q87 P88:R89 Q90 P74:R74">
    <cfRule type="cellIs" dxfId="437" priority="577" stopIfTrue="1" operator="equal">
      <formula>"N/A"</formula>
    </cfRule>
  </conditionalFormatting>
  <conditionalFormatting sqref="R70">
    <cfRule type="cellIs" dxfId="436" priority="575" stopIfTrue="1" operator="equal">
      <formula>"N/A"</formula>
    </cfRule>
  </conditionalFormatting>
  <conditionalFormatting sqref="E76:K76">
    <cfRule type="cellIs" dxfId="435" priority="573" stopIfTrue="1" operator="notEqual">
      <formula>"X"</formula>
    </cfRule>
  </conditionalFormatting>
  <conditionalFormatting sqref="P76:R76">
    <cfRule type="cellIs" dxfId="434" priority="572" stopIfTrue="1" operator="equal">
      <formula>"N/A"</formula>
    </cfRule>
  </conditionalFormatting>
  <conditionalFormatting sqref="E76:K76">
    <cfRule type="cellIs" dxfId="433" priority="570" stopIfTrue="1" operator="notEqual">
      <formula>"X"</formula>
    </cfRule>
  </conditionalFormatting>
  <conditionalFormatting sqref="E77:K77">
    <cfRule type="cellIs" dxfId="432" priority="569" stopIfTrue="1" operator="notEqual">
      <formula>"X"</formula>
    </cfRule>
  </conditionalFormatting>
  <conditionalFormatting sqref="P77:R77">
    <cfRule type="cellIs" dxfId="431" priority="568" stopIfTrue="1" operator="equal">
      <formula>"N/A"</formula>
    </cfRule>
  </conditionalFormatting>
  <conditionalFormatting sqref="E77:K77">
    <cfRule type="cellIs" dxfId="430" priority="566" stopIfTrue="1" operator="notEqual">
      <formula>"X"</formula>
    </cfRule>
  </conditionalFormatting>
  <conditionalFormatting sqref="E96:K96">
    <cfRule type="cellIs" dxfId="429" priority="528" stopIfTrue="1" operator="notEqual">
      <formula>"X"</formula>
    </cfRule>
  </conditionalFormatting>
  <conditionalFormatting sqref="P95:Q95">
    <cfRule type="cellIs" dxfId="428" priority="541" stopIfTrue="1" operator="equal">
      <formula>"N/A"</formula>
    </cfRule>
  </conditionalFormatting>
  <conditionalFormatting sqref="E104:K105">
    <cfRule type="cellIs" dxfId="427" priority="500" stopIfTrue="1" operator="notEqual">
      <formula>"X"</formula>
    </cfRule>
  </conditionalFormatting>
  <conditionalFormatting sqref="E75:K75">
    <cfRule type="cellIs" dxfId="426" priority="561" stopIfTrue="1" operator="notEqual">
      <formula>"X"</formula>
    </cfRule>
  </conditionalFormatting>
  <conditionalFormatting sqref="Q75">
    <cfRule type="cellIs" dxfId="425" priority="560" stopIfTrue="1" operator="equal">
      <formula>"N/A"</formula>
    </cfRule>
  </conditionalFormatting>
  <conditionalFormatting sqref="R75">
    <cfRule type="cellIs" dxfId="424" priority="558" stopIfTrue="1" operator="equal">
      <formula>"N/A"</formula>
    </cfRule>
  </conditionalFormatting>
  <conditionalFormatting sqref="C96:K97 E106:K107 D100:K103 C91:K92">
    <cfRule type="cellIs" dxfId="423" priority="549" stopIfTrue="1" operator="notEqual">
      <formula>"X"</formula>
    </cfRule>
  </conditionalFormatting>
  <conditionalFormatting sqref="R92 R101 P91:Q92 P103:R103 P106:Q106 P101 Q101:Q102 P100:R100 Q107">
    <cfRule type="cellIs" dxfId="422" priority="548" stopIfTrue="1" operator="equal">
      <formula>"N/A"</formula>
    </cfRule>
  </conditionalFormatting>
  <conditionalFormatting sqref="Q93">
    <cfRule type="cellIs" dxfId="421" priority="545" stopIfTrue="1" operator="equal">
      <formula>"N/A"</formula>
    </cfRule>
  </conditionalFormatting>
  <conditionalFormatting sqref="P94:Q94">
    <cfRule type="cellIs" dxfId="420" priority="542" stopIfTrue="1" operator="equal">
      <formula>"N/A"</formula>
    </cfRule>
  </conditionalFormatting>
  <conditionalFormatting sqref="R115">
    <cfRule type="cellIs" dxfId="419" priority="461" stopIfTrue="1" operator="equal">
      <formula>"N/A"</formula>
    </cfRule>
  </conditionalFormatting>
  <conditionalFormatting sqref="E94:K94">
    <cfRule type="cellIs" dxfId="418" priority="539" stopIfTrue="1" operator="notEqual">
      <formula>"X"</formula>
    </cfRule>
  </conditionalFormatting>
  <conditionalFormatting sqref="E94:K94">
    <cfRule type="cellIs" dxfId="417" priority="538" stopIfTrue="1" operator="notEqual">
      <formula>"X"</formula>
    </cfRule>
  </conditionalFormatting>
  <conditionalFormatting sqref="E94:K94">
    <cfRule type="cellIs" dxfId="416" priority="537" stopIfTrue="1" operator="notEqual">
      <formula>"X"</formula>
    </cfRule>
  </conditionalFormatting>
  <conditionalFormatting sqref="E94:K94">
    <cfRule type="cellIs" dxfId="415" priority="536" stopIfTrue="1" operator="notEqual">
      <formula>"X"</formula>
    </cfRule>
  </conditionalFormatting>
  <conditionalFormatting sqref="E95:K95">
    <cfRule type="cellIs" dxfId="414" priority="535" stopIfTrue="1" operator="notEqual">
      <formula>"X"</formula>
    </cfRule>
  </conditionalFormatting>
  <conditionalFormatting sqref="E95:K95">
    <cfRule type="cellIs" dxfId="413" priority="534" stopIfTrue="1" operator="notEqual">
      <formula>"X"</formula>
    </cfRule>
  </conditionalFormatting>
  <conditionalFormatting sqref="E95:K95">
    <cfRule type="cellIs" dxfId="412" priority="533" stopIfTrue="1" operator="notEqual">
      <formula>"X"</formula>
    </cfRule>
  </conditionalFormatting>
  <conditionalFormatting sqref="E95:K95">
    <cfRule type="cellIs" dxfId="411" priority="532" stopIfTrue="1" operator="notEqual">
      <formula>"X"</formula>
    </cfRule>
  </conditionalFormatting>
  <conditionalFormatting sqref="E96:K96">
    <cfRule type="cellIs" dxfId="410" priority="531" stopIfTrue="1" operator="notEqual">
      <formula>"X"</formula>
    </cfRule>
  </conditionalFormatting>
  <conditionalFormatting sqref="Q96">
    <cfRule type="cellIs" dxfId="409" priority="530" stopIfTrue="1" operator="equal">
      <formula>"N/A"</formula>
    </cfRule>
  </conditionalFormatting>
  <conditionalFormatting sqref="E96:K96">
    <cfRule type="cellIs" dxfId="408" priority="529" stopIfTrue="1" operator="notEqual">
      <formula>"X"</formula>
    </cfRule>
  </conditionalFormatting>
  <conditionalFormatting sqref="E97:K97">
    <cfRule type="cellIs" dxfId="407" priority="527" stopIfTrue="1" operator="notEqual">
      <formula>"X"</formula>
    </cfRule>
  </conditionalFormatting>
  <conditionalFormatting sqref="C98">
    <cfRule type="cellIs" dxfId="406" priority="515" stopIfTrue="1" operator="notEqual">
      <formula>"X"</formula>
    </cfRule>
  </conditionalFormatting>
  <conditionalFormatting sqref="E98:I98">
    <cfRule type="cellIs" dxfId="405" priority="525" stopIfTrue="1" operator="notEqual">
      <formula>"X"</formula>
    </cfRule>
  </conditionalFormatting>
  <conditionalFormatting sqref="E98:I98">
    <cfRule type="cellIs" dxfId="404" priority="523" stopIfTrue="1" operator="notEqual">
      <formula>"X"</formula>
    </cfRule>
  </conditionalFormatting>
  <conditionalFormatting sqref="E98:I98">
    <cfRule type="cellIs" dxfId="403" priority="522" stopIfTrue="1" operator="notEqual">
      <formula>"X"</formula>
    </cfRule>
  </conditionalFormatting>
  <conditionalFormatting sqref="Q97">
    <cfRule type="cellIs" dxfId="402" priority="526" stopIfTrue="1" operator="equal">
      <formula>"N/A"</formula>
    </cfRule>
  </conditionalFormatting>
  <conditionalFormatting sqref="E98:I98">
    <cfRule type="cellIs" dxfId="401" priority="519" stopIfTrue="1" operator="notEqual">
      <formula>"X"</formula>
    </cfRule>
  </conditionalFormatting>
  <conditionalFormatting sqref="E98:I98">
    <cfRule type="cellIs" dxfId="400" priority="521" stopIfTrue="1" operator="notEqual">
      <formula>"X"</formula>
    </cfRule>
  </conditionalFormatting>
  <conditionalFormatting sqref="E98:I98">
    <cfRule type="cellIs" dxfId="399" priority="520" stopIfTrue="1" operator="notEqual">
      <formula>"X"</formula>
    </cfRule>
  </conditionalFormatting>
  <conditionalFormatting sqref="E98:I98">
    <cfRule type="cellIs" dxfId="398" priority="518" stopIfTrue="1" operator="notEqual">
      <formula>"X"</formula>
    </cfRule>
  </conditionalFormatting>
  <conditionalFormatting sqref="E98:I98">
    <cfRule type="cellIs" dxfId="397" priority="517" stopIfTrue="1" operator="notEqual">
      <formula>"X"</formula>
    </cfRule>
  </conditionalFormatting>
  <conditionalFormatting sqref="D106:D107">
    <cfRule type="cellIs" dxfId="396" priority="516" stopIfTrue="1" operator="notEqual">
      <formula>"X"</formula>
    </cfRule>
  </conditionalFormatting>
  <conditionalFormatting sqref="D98">
    <cfRule type="cellIs" dxfId="395" priority="489" stopIfTrue="1" operator="notEqual">
      <formula>"X"</formula>
    </cfRule>
  </conditionalFormatting>
  <conditionalFormatting sqref="E99:K99">
    <cfRule type="cellIs" dxfId="394" priority="514" stopIfTrue="1" operator="notEqual">
      <formula>"X"</formula>
    </cfRule>
  </conditionalFormatting>
  <conditionalFormatting sqref="D99">
    <cfRule type="cellIs" dxfId="393" priority="512" stopIfTrue="1" operator="notEqual">
      <formula>"X"</formula>
    </cfRule>
  </conditionalFormatting>
  <conditionalFormatting sqref="P99:Q99">
    <cfRule type="cellIs" dxfId="392" priority="511" stopIfTrue="1" operator="equal">
      <formula>"N/A"</formula>
    </cfRule>
  </conditionalFormatting>
  <conditionalFormatting sqref="R99">
    <cfRule type="cellIs" dxfId="391" priority="510" stopIfTrue="1" operator="equal">
      <formula>"N/A"</formula>
    </cfRule>
  </conditionalFormatting>
  <conditionalFormatting sqref="D98">
    <cfRule type="cellIs" dxfId="390" priority="487" stopIfTrue="1" operator="notEqual">
      <formula>"X"</formula>
    </cfRule>
  </conditionalFormatting>
  <conditionalFormatting sqref="Q104:R104 Q105">
    <cfRule type="cellIs" dxfId="389" priority="499" stopIfTrue="1" operator="equal">
      <formula>"N/A"</formula>
    </cfRule>
  </conditionalFormatting>
  <conditionalFormatting sqref="D104:D105">
    <cfRule type="cellIs" dxfId="388" priority="497" stopIfTrue="1" operator="notEqual">
      <formula>"X"</formula>
    </cfRule>
  </conditionalFormatting>
  <conditionalFormatting sqref="J98">
    <cfRule type="cellIs" dxfId="387" priority="492" stopIfTrue="1" operator="notEqual">
      <formula>"X"</formula>
    </cfRule>
  </conditionalFormatting>
  <conditionalFormatting sqref="K98">
    <cfRule type="cellIs" dxfId="386" priority="491" stopIfTrue="1" operator="notEqual">
      <formula>"X"</formula>
    </cfRule>
  </conditionalFormatting>
  <conditionalFormatting sqref="D98">
    <cfRule type="cellIs" dxfId="385" priority="490" stopIfTrue="1" operator="notEqual">
      <formula>"X"</formula>
    </cfRule>
  </conditionalFormatting>
  <conditionalFormatting sqref="E109:F109">
    <cfRule type="cellIs" dxfId="384" priority="475" stopIfTrue="1" operator="notEqual">
      <formula>"X"</formula>
    </cfRule>
  </conditionalFormatting>
  <conditionalFormatting sqref="D98">
    <cfRule type="cellIs" dxfId="383" priority="488" stopIfTrue="1" operator="notEqual">
      <formula>"X"</formula>
    </cfRule>
  </conditionalFormatting>
  <conditionalFormatting sqref="D98">
    <cfRule type="cellIs" dxfId="382" priority="485" stopIfTrue="1" operator="notEqual">
      <formula>"X"</formula>
    </cfRule>
  </conditionalFormatting>
  <conditionalFormatting sqref="J109">
    <cfRule type="cellIs" dxfId="381" priority="473" stopIfTrue="1" operator="notEqual">
      <formula>"X"</formula>
    </cfRule>
  </conditionalFormatting>
  <conditionalFormatting sqref="D98">
    <cfRule type="cellIs" dxfId="380" priority="486" stopIfTrue="1" operator="notEqual">
      <formula>"X"</formula>
    </cfRule>
  </conditionalFormatting>
  <conditionalFormatting sqref="D98">
    <cfRule type="cellIs" dxfId="379" priority="484" stopIfTrue="1" operator="notEqual">
      <formula>"X"</formula>
    </cfRule>
  </conditionalFormatting>
  <conditionalFormatting sqref="D98">
    <cfRule type="cellIs" dxfId="378" priority="483" stopIfTrue="1" operator="notEqual">
      <formula>"X"</formula>
    </cfRule>
  </conditionalFormatting>
  <conditionalFormatting sqref="P93">
    <cfRule type="cellIs" dxfId="377" priority="482" stopIfTrue="1" operator="equal">
      <formula>"N/A"</formula>
    </cfRule>
  </conditionalFormatting>
  <conditionalFormatting sqref="C117:K117 E109:K109 E116:K116 E111:K111 C120:K122">
    <cfRule type="cellIs" dxfId="376" priority="480" stopIfTrue="1" operator="notEqual">
      <formula>"X"</formula>
    </cfRule>
  </conditionalFormatting>
  <conditionalFormatting sqref="P122 R122 P116:R117 P114:R114 P110:R110 Q120:Q122 Q111">
    <cfRule type="cellIs" dxfId="375" priority="479" stopIfTrue="1" operator="equal">
      <formula>"N/A"</formula>
    </cfRule>
  </conditionalFormatting>
  <conditionalFormatting sqref="P109:R109">
    <cfRule type="cellIs" dxfId="374" priority="477" stopIfTrue="1" operator="equal">
      <formula>"N/A"</formula>
    </cfRule>
  </conditionalFormatting>
  <conditionalFormatting sqref="G109">
    <cfRule type="cellIs" dxfId="373" priority="474" stopIfTrue="1" operator="notEqual">
      <formula>"X"</formula>
    </cfRule>
  </conditionalFormatting>
  <conditionalFormatting sqref="C109:D109">
    <cfRule type="cellIs" dxfId="372" priority="460" stopIfTrue="1" operator="notEqual">
      <formula>"X"</formula>
    </cfRule>
  </conditionalFormatting>
  <conditionalFormatting sqref="Q112:Q113">
    <cfRule type="cellIs" dxfId="371" priority="472" stopIfTrue="1" operator="equal">
      <formula>"N/A"</formula>
    </cfRule>
  </conditionalFormatting>
  <conditionalFormatting sqref="J112:J113">
    <cfRule type="cellIs" dxfId="370" priority="466" stopIfTrue="1" operator="notEqual">
      <formula>"X"</formula>
    </cfRule>
  </conditionalFormatting>
  <conditionalFormatting sqref="E112:F113">
    <cfRule type="cellIs" dxfId="369" priority="469" stopIfTrue="1" operator="notEqual">
      <formula>"X"</formula>
    </cfRule>
  </conditionalFormatting>
  <conditionalFormatting sqref="G112:G113">
    <cfRule type="cellIs" dxfId="368" priority="468" stopIfTrue="1" operator="notEqual">
      <formula>"X"</formula>
    </cfRule>
  </conditionalFormatting>
  <conditionalFormatting sqref="E112:K113">
    <cfRule type="cellIs" dxfId="367" priority="467" stopIfTrue="1" operator="notEqual">
      <formula>"X"</formula>
    </cfRule>
  </conditionalFormatting>
  <conditionalFormatting sqref="E115:K115">
    <cfRule type="cellIs" dxfId="366" priority="464" stopIfTrue="1" operator="notEqual">
      <formula>"X"</formula>
    </cfRule>
  </conditionalFormatting>
  <conditionalFormatting sqref="Q115">
    <cfRule type="cellIs" dxfId="365" priority="463" stopIfTrue="1" operator="equal">
      <formula>"N/A"</formula>
    </cfRule>
  </conditionalFormatting>
  <conditionalFormatting sqref="P105">
    <cfRule type="cellIs" dxfId="364" priority="442" stopIfTrue="1" operator="equal">
      <formula>"N/A"</formula>
    </cfRule>
  </conditionalFormatting>
  <conditionalFormatting sqref="C110:D110">
    <cfRule type="cellIs" dxfId="363" priority="456" stopIfTrue="1" operator="notEqual">
      <formula>"X"</formula>
    </cfRule>
  </conditionalFormatting>
  <conditionalFormatting sqref="E110:F110">
    <cfRule type="cellIs" dxfId="362" priority="455" stopIfTrue="1" operator="notEqual">
      <formula>"X"</formula>
    </cfRule>
  </conditionalFormatting>
  <conditionalFormatting sqref="J110:K110">
    <cfRule type="cellIs" dxfId="361" priority="458" stopIfTrue="1" operator="notEqual">
      <formula>"X"</formula>
    </cfRule>
  </conditionalFormatting>
  <conditionalFormatting sqref="J110">
    <cfRule type="cellIs" dxfId="360" priority="457" stopIfTrue="1" operator="notEqual">
      <formula>"X"</formula>
    </cfRule>
  </conditionalFormatting>
  <conditionalFormatting sqref="G110">
    <cfRule type="cellIs" dxfId="359" priority="454" stopIfTrue="1" operator="notEqual">
      <formula>"X"</formula>
    </cfRule>
  </conditionalFormatting>
  <conditionalFormatting sqref="E110:I110">
    <cfRule type="cellIs" dxfId="358" priority="453" stopIfTrue="1" operator="notEqual">
      <formula>"X"</formula>
    </cfRule>
  </conditionalFormatting>
  <conditionalFormatting sqref="C123:K123">
    <cfRule type="cellIs" dxfId="357" priority="452" stopIfTrue="1" operator="notEqual">
      <formula>"X"</formula>
    </cfRule>
  </conditionalFormatting>
  <conditionalFormatting sqref="Q123">
    <cfRule type="cellIs" dxfId="356" priority="451" stopIfTrue="1" operator="equal">
      <formula>"N/A"</formula>
    </cfRule>
  </conditionalFormatting>
  <conditionalFormatting sqref="R120">
    <cfRule type="cellIs" dxfId="355" priority="449" stopIfTrue="1" operator="equal">
      <formula>"N/A"</formula>
    </cfRule>
  </conditionalFormatting>
  <conditionalFormatting sqref="P113">
    <cfRule type="cellIs" dxfId="354" priority="448" stopIfTrue="1" operator="equal">
      <formula>"N/A"</formula>
    </cfRule>
  </conditionalFormatting>
  <conditionalFormatting sqref="R113">
    <cfRule type="cellIs" dxfId="353" priority="447" stopIfTrue="1" operator="equal">
      <formula>"N/A"</formula>
    </cfRule>
  </conditionalFormatting>
  <conditionalFormatting sqref="R111">
    <cfRule type="cellIs" dxfId="352" priority="440" stopIfTrue="1" operator="equal">
      <formula>"N/A"</formula>
    </cfRule>
  </conditionalFormatting>
  <conditionalFormatting sqref="P98">
    <cfRule type="cellIs" dxfId="351" priority="445" stopIfTrue="1" operator="equal">
      <formula>"N/A"</formula>
    </cfRule>
  </conditionalFormatting>
  <conditionalFormatting sqref="P97">
    <cfRule type="cellIs" dxfId="350" priority="444" stopIfTrue="1" operator="equal">
      <formula>"N/A"</formula>
    </cfRule>
  </conditionalFormatting>
  <conditionalFormatting sqref="P96">
    <cfRule type="cellIs" dxfId="349" priority="443" stopIfTrue="1" operator="equal">
      <formula>"N/A"</formula>
    </cfRule>
  </conditionalFormatting>
  <conditionalFormatting sqref="R112">
    <cfRule type="cellIs" dxfId="348" priority="439" stopIfTrue="1" operator="equal">
      <formula>"N/A"</formula>
    </cfRule>
  </conditionalFormatting>
  <conditionalFormatting sqref="P111">
    <cfRule type="cellIs" dxfId="347" priority="438" stopIfTrue="1" operator="equal">
      <formula>"N/A"</formula>
    </cfRule>
  </conditionalFormatting>
  <conditionalFormatting sqref="P112">
    <cfRule type="cellIs" dxfId="346" priority="437" stopIfTrue="1" operator="equal">
      <formula>"N/A"</formula>
    </cfRule>
  </conditionalFormatting>
  <conditionalFormatting sqref="R105">
    <cfRule type="cellIs" dxfId="345" priority="436" stopIfTrue="1" operator="equal">
      <formula>"N/A"</formula>
    </cfRule>
  </conditionalFormatting>
  <conditionalFormatting sqref="R106:R107">
    <cfRule type="cellIs" dxfId="344" priority="435" stopIfTrue="1" operator="equal">
      <formula>"N/A"</formula>
    </cfRule>
  </conditionalFormatting>
  <conditionalFormatting sqref="P107">
    <cfRule type="cellIs" dxfId="343" priority="434" stopIfTrue="1" operator="equal">
      <formula>"N/A"</formula>
    </cfRule>
  </conditionalFormatting>
  <conditionalFormatting sqref="AJ118:AM118">
    <cfRule type="cellIs" dxfId="342" priority="418" stopIfTrue="1" operator="equal">
      <formula>"N/A"</formula>
    </cfRule>
    <cfRule type="cellIs" dxfId="341" priority="419" stopIfTrue="1" operator="equal">
      <formula>1</formula>
    </cfRule>
    <cfRule type="cellIs" dxfId="340" priority="420" stopIfTrue="1" operator="equal">
      <formula>2</formula>
    </cfRule>
  </conditionalFormatting>
  <conditionalFormatting sqref="AG118:AI118">
    <cfRule type="cellIs" dxfId="339" priority="415" stopIfTrue="1" operator="equal">
      <formula>"N/A"</formula>
    </cfRule>
    <cfRule type="cellIs" dxfId="338" priority="416" stopIfTrue="1" operator="equal">
      <formula>"M"</formula>
    </cfRule>
    <cfRule type="cellIs" dxfId="337" priority="417" stopIfTrue="1" operator="equal">
      <formula>"O"</formula>
    </cfRule>
  </conditionalFormatting>
  <conditionalFormatting sqref="C118">
    <cfRule type="cellIs" dxfId="336" priority="414" stopIfTrue="1" operator="notEqual">
      <formula>"X"</formula>
    </cfRule>
  </conditionalFormatting>
  <conditionalFormatting sqref="E118:K118">
    <cfRule type="cellIs" dxfId="335" priority="413" stopIfTrue="1" operator="notEqual">
      <formula>"X"</formula>
    </cfRule>
  </conditionalFormatting>
  <conditionalFormatting sqref="Q118">
    <cfRule type="cellIs" dxfId="334" priority="412" stopIfTrue="1" operator="equal">
      <formula>"N/A"</formula>
    </cfRule>
  </conditionalFormatting>
  <conditionalFormatting sqref="D118">
    <cfRule type="cellIs" dxfId="333" priority="410" stopIfTrue="1" operator="notEqual">
      <formula>"X"</formula>
    </cfRule>
  </conditionalFormatting>
  <conditionalFormatting sqref="P118">
    <cfRule type="cellIs" dxfId="332" priority="408" stopIfTrue="1" operator="equal">
      <formula>"N/A"</formula>
    </cfRule>
  </conditionalFormatting>
  <conditionalFormatting sqref="AJ119:AM119">
    <cfRule type="cellIs" dxfId="331" priority="405" stopIfTrue="1" operator="equal">
      <formula>"N/A"</formula>
    </cfRule>
    <cfRule type="cellIs" dxfId="330" priority="406" stopIfTrue="1" operator="equal">
      <formula>1</formula>
    </cfRule>
    <cfRule type="cellIs" dxfId="329" priority="407" stopIfTrue="1" operator="equal">
      <formula>2</formula>
    </cfRule>
  </conditionalFormatting>
  <conditionalFormatting sqref="AG119:AI119">
    <cfRule type="cellIs" dxfId="328" priority="402" stopIfTrue="1" operator="equal">
      <formula>"N/A"</formula>
    </cfRule>
    <cfRule type="cellIs" dxfId="327" priority="403" stopIfTrue="1" operator="equal">
      <formula>"M"</formula>
    </cfRule>
    <cfRule type="cellIs" dxfId="326" priority="404" stopIfTrue="1" operator="equal">
      <formula>"O"</formula>
    </cfRule>
  </conditionalFormatting>
  <conditionalFormatting sqref="C119">
    <cfRule type="cellIs" dxfId="325" priority="401" stopIfTrue="1" operator="notEqual">
      <formula>"X"</formula>
    </cfRule>
  </conditionalFormatting>
  <conditionalFormatting sqref="E119:K119">
    <cfRule type="cellIs" dxfId="324" priority="400" stopIfTrue="1" operator="notEqual">
      <formula>"X"</formula>
    </cfRule>
  </conditionalFormatting>
  <conditionalFormatting sqref="Q119">
    <cfRule type="cellIs" dxfId="323" priority="399" stopIfTrue="1" operator="equal">
      <formula>"N/A"</formula>
    </cfRule>
  </conditionalFormatting>
  <conditionalFormatting sqref="D119">
    <cfRule type="cellIs" dxfId="322" priority="397" stopIfTrue="1" operator="notEqual">
      <formula>"X"</formula>
    </cfRule>
  </conditionalFormatting>
  <conditionalFormatting sqref="P119">
    <cfRule type="cellIs" dxfId="321" priority="395" stopIfTrue="1" operator="equal">
      <formula>"N/A"</formula>
    </cfRule>
  </conditionalFormatting>
  <conditionalFormatting sqref="AJ27:AM27">
    <cfRule type="cellIs" dxfId="320" priority="389" stopIfTrue="1" operator="equal">
      <formula>"N/A"</formula>
    </cfRule>
    <cfRule type="cellIs" dxfId="319" priority="390" stopIfTrue="1" operator="equal">
      <formula>1</formula>
    </cfRule>
    <cfRule type="cellIs" dxfId="318" priority="391" stopIfTrue="1" operator="equal">
      <formula>2</formula>
    </cfRule>
  </conditionalFormatting>
  <conditionalFormatting sqref="AG27:AI27">
    <cfRule type="cellIs" dxfId="317" priority="392" stopIfTrue="1" operator="equal">
      <formula>"N/A"</formula>
    </cfRule>
    <cfRule type="cellIs" dxfId="316" priority="393" stopIfTrue="1" operator="equal">
      <formula>"M"</formula>
    </cfRule>
    <cfRule type="cellIs" dxfId="315" priority="394" stopIfTrue="1" operator="equal">
      <formula>"O"</formula>
    </cfRule>
  </conditionalFormatting>
  <conditionalFormatting sqref="J27:K27">
    <cfRule type="cellIs" dxfId="314" priority="387" stopIfTrue="1" operator="notEqual">
      <formula>"X"</formula>
    </cfRule>
  </conditionalFormatting>
  <conditionalFormatting sqref="J27:K27">
    <cfRule type="cellIs" dxfId="313" priority="386" stopIfTrue="1" operator="notEqual">
      <formula>"X"</formula>
    </cfRule>
  </conditionalFormatting>
  <conditionalFormatting sqref="C27:D27">
    <cfRule type="cellIs" dxfId="312" priority="384" stopIfTrue="1" operator="notEqual">
      <formula>"X"</formula>
    </cfRule>
  </conditionalFormatting>
  <conditionalFormatting sqref="E27:I27">
    <cfRule type="cellIs" dxfId="311" priority="385" stopIfTrue="1" operator="notEqual">
      <formula>"X"</formula>
    </cfRule>
  </conditionalFormatting>
  <conditionalFormatting sqref="P27:Q27">
    <cfRule type="cellIs" dxfId="310" priority="383" stopIfTrue="1" operator="equal">
      <formula>"N/A"</formula>
    </cfRule>
  </conditionalFormatting>
  <conditionalFormatting sqref="R27">
    <cfRule type="cellIs" dxfId="309" priority="382" stopIfTrue="1" operator="equal">
      <formula>"N/A"</formula>
    </cfRule>
  </conditionalFormatting>
  <conditionalFormatting sqref="AJ31:AM31">
    <cfRule type="cellIs" dxfId="308" priority="376" stopIfTrue="1" operator="equal">
      <formula>"N/A"</formula>
    </cfRule>
    <cfRule type="cellIs" dxfId="307" priority="377" stopIfTrue="1" operator="equal">
      <formula>1</formula>
    </cfRule>
    <cfRule type="cellIs" dxfId="306" priority="378" stopIfTrue="1" operator="equal">
      <formula>2</formula>
    </cfRule>
  </conditionalFormatting>
  <conditionalFormatting sqref="AG31:AI31">
    <cfRule type="cellIs" dxfId="305" priority="379" stopIfTrue="1" operator="equal">
      <formula>"N/A"</formula>
    </cfRule>
    <cfRule type="cellIs" dxfId="304" priority="380" stopIfTrue="1" operator="equal">
      <formula>"M"</formula>
    </cfRule>
    <cfRule type="cellIs" dxfId="303" priority="381" stopIfTrue="1" operator="equal">
      <formula>"O"</formula>
    </cfRule>
  </conditionalFormatting>
  <conditionalFormatting sqref="E31:K31">
    <cfRule type="cellIs" dxfId="302" priority="375" stopIfTrue="1" operator="notEqual">
      <formula>"X"</formula>
    </cfRule>
  </conditionalFormatting>
  <conditionalFormatting sqref="Q31">
    <cfRule type="cellIs" dxfId="301" priority="374" stopIfTrue="1" operator="equal">
      <formula>"N/A"</formula>
    </cfRule>
  </conditionalFormatting>
  <conditionalFormatting sqref="C31:D31">
    <cfRule type="cellIs" dxfId="300" priority="372" stopIfTrue="1" operator="notEqual">
      <formula>"X"</formula>
    </cfRule>
  </conditionalFormatting>
  <conditionalFormatting sqref="AJ33:AM33">
    <cfRule type="cellIs" dxfId="299" priority="366" stopIfTrue="1" operator="equal">
      <formula>"N/A"</formula>
    </cfRule>
    <cfRule type="cellIs" dxfId="298" priority="367" stopIfTrue="1" operator="equal">
      <formula>1</formula>
    </cfRule>
    <cfRule type="cellIs" dxfId="297" priority="368" stopIfTrue="1" operator="equal">
      <formula>2</formula>
    </cfRule>
  </conditionalFormatting>
  <conditionalFormatting sqref="AG33:AI33">
    <cfRule type="cellIs" dxfId="296" priority="369" stopIfTrue="1" operator="equal">
      <formula>"N/A"</formula>
    </cfRule>
    <cfRule type="cellIs" dxfId="295" priority="370" stopIfTrue="1" operator="equal">
      <formula>"M"</formula>
    </cfRule>
    <cfRule type="cellIs" dxfId="294" priority="371" stopIfTrue="1" operator="equal">
      <formula>"O"</formula>
    </cfRule>
  </conditionalFormatting>
  <conditionalFormatting sqref="C33">
    <cfRule type="cellIs" dxfId="293" priority="365" stopIfTrue="1" operator="notEqual">
      <formula>"X"</formula>
    </cfRule>
  </conditionalFormatting>
  <conditionalFormatting sqref="E33:I33">
    <cfRule type="cellIs" dxfId="292" priority="364" stopIfTrue="1" operator="notEqual">
      <formula>"X"</formula>
    </cfRule>
  </conditionalFormatting>
  <conditionalFormatting sqref="J33:K33">
    <cfRule type="cellIs" dxfId="291" priority="362" stopIfTrue="1" operator="notEqual">
      <formula>"X"</formula>
    </cfRule>
  </conditionalFormatting>
  <conditionalFormatting sqref="P33:Q33">
    <cfRule type="cellIs" dxfId="290" priority="361" stopIfTrue="1" operator="equal">
      <formula>"N/A"</formula>
    </cfRule>
  </conditionalFormatting>
  <conditionalFormatting sqref="D33">
    <cfRule type="cellIs" dxfId="289" priority="360" stopIfTrue="1" operator="notEqual">
      <formula>"X"</formula>
    </cfRule>
  </conditionalFormatting>
  <conditionalFormatting sqref="R33">
    <cfRule type="cellIs" dxfId="288" priority="359" stopIfTrue="1" operator="equal">
      <formula>"N/A"</formula>
    </cfRule>
  </conditionalFormatting>
  <conditionalFormatting sqref="AJ58:AM58">
    <cfRule type="cellIs" dxfId="287" priority="353" stopIfTrue="1" operator="equal">
      <formula>"N/A"</formula>
    </cfRule>
    <cfRule type="cellIs" dxfId="286" priority="354" stopIfTrue="1" operator="equal">
      <formula>1</formula>
    </cfRule>
    <cfRule type="cellIs" dxfId="285" priority="355" stopIfTrue="1" operator="equal">
      <formula>2</formula>
    </cfRule>
  </conditionalFormatting>
  <conditionalFormatting sqref="AG58:AI58">
    <cfRule type="cellIs" dxfId="284" priority="356" stopIfTrue="1" operator="equal">
      <formula>"N/A"</formula>
    </cfRule>
    <cfRule type="cellIs" dxfId="283" priority="357" stopIfTrue="1" operator="equal">
      <formula>"M"</formula>
    </cfRule>
    <cfRule type="cellIs" dxfId="282" priority="358" stopIfTrue="1" operator="equal">
      <formula>"O"</formula>
    </cfRule>
  </conditionalFormatting>
  <conditionalFormatting sqref="C58:K58">
    <cfRule type="cellIs" dxfId="281" priority="352" stopIfTrue="1" operator="notEqual">
      <formula>"X"</formula>
    </cfRule>
  </conditionalFormatting>
  <conditionalFormatting sqref="Q58">
    <cfRule type="cellIs" dxfId="280" priority="350" stopIfTrue="1" operator="equal">
      <formula>"N/A"</formula>
    </cfRule>
  </conditionalFormatting>
  <conditionalFormatting sqref="AJ80:AM80">
    <cfRule type="cellIs" dxfId="279" priority="344" stopIfTrue="1" operator="equal">
      <formula>"N/A"</formula>
    </cfRule>
    <cfRule type="cellIs" dxfId="278" priority="345" stopIfTrue="1" operator="equal">
      <formula>1</formula>
    </cfRule>
    <cfRule type="cellIs" dxfId="277" priority="346" stopIfTrue="1" operator="equal">
      <formula>2</formula>
    </cfRule>
  </conditionalFormatting>
  <conditionalFormatting sqref="AG80:AI80">
    <cfRule type="cellIs" dxfId="276" priority="347" stopIfTrue="1" operator="equal">
      <formula>"N/A"</formula>
    </cfRule>
    <cfRule type="cellIs" dxfId="275" priority="348" stopIfTrue="1" operator="equal">
      <formula>"M"</formula>
    </cfRule>
    <cfRule type="cellIs" dxfId="274" priority="349" stopIfTrue="1" operator="equal">
      <formula>"O"</formula>
    </cfRule>
  </conditionalFormatting>
  <conditionalFormatting sqref="AJ81:AM81">
    <cfRule type="cellIs" dxfId="273" priority="338" stopIfTrue="1" operator="equal">
      <formula>"N/A"</formula>
    </cfRule>
    <cfRule type="cellIs" dxfId="272" priority="339" stopIfTrue="1" operator="equal">
      <formula>1</formula>
    </cfRule>
    <cfRule type="cellIs" dxfId="271" priority="340" stopIfTrue="1" operator="equal">
      <formula>2</formula>
    </cfRule>
  </conditionalFormatting>
  <conditionalFormatting sqref="AG81:AI81">
    <cfRule type="cellIs" dxfId="270" priority="341" stopIfTrue="1" operator="equal">
      <formula>"N/A"</formula>
    </cfRule>
    <cfRule type="cellIs" dxfId="269" priority="342" stopIfTrue="1" operator="equal">
      <formula>"M"</formula>
    </cfRule>
    <cfRule type="cellIs" dxfId="268" priority="343" stopIfTrue="1" operator="equal">
      <formula>"O"</formula>
    </cfRule>
  </conditionalFormatting>
  <conditionalFormatting sqref="C80:K81">
    <cfRule type="cellIs" dxfId="267" priority="337" stopIfTrue="1" operator="notEqual">
      <formula>"X"</formula>
    </cfRule>
  </conditionalFormatting>
  <conditionalFormatting sqref="P80:Q81">
    <cfRule type="cellIs" dxfId="266" priority="335" stopIfTrue="1" operator="equal">
      <formula>"N/A"</formula>
    </cfRule>
  </conditionalFormatting>
  <conditionalFormatting sqref="R80">
    <cfRule type="cellIs" dxfId="265" priority="334" stopIfTrue="1" operator="equal">
      <formula>"N/A"</formula>
    </cfRule>
  </conditionalFormatting>
  <conditionalFormatting sqref="AJ36:AM37">
    <cfRule type="cellIs" dxfId="264" priority="195" stopIfTrue="1" operator="equal">
      <formula>"N/A"</formula>
    </cfRule>
    <cfRule type="cellIs" dxfId="263" priority="196" stopIfTrue="1" operator="equal">
      <formula>1</formula>
    </cfRule>
    <cfRule type="cellIs" dxfId="262" priority="197" stopIfTrue="1" operator="equal">
      <formula>2</formula>
    </cfRule>
  </conditionalFormatting>
  <conditionalFormatting sqref="AG36:AI37">
    <cfRule type="cellIs" dxfId="261" priority="198" stopIfTrue="1" operator="equal">
      <formula>"N/A"</formula>
    </cfRule>
    <cfRule type="cellIs" dxfId="260" priority="199" stopIfTrue="1" operator="equal">
      <formula>"M"</formula>
    </cfRule>
    <cfRule type="cellIs" dxfId="259" priority="200" stopIfTrue="1" operator="equal">
      <formula>"O"</formula>
    </cfRule>
  </conditionalFormatting>
  <conditionalFormatting sqref="J38:K38">
    <cfRule type="cellIs" dxfId="258" priority="303" stopIfTrue="1" operator="notEqual">
      <formula>"X"</formula>
    </cfRule>
  </conditionalFormatting>
  <conditionalFormatting sqref="P38:Q38">
    <cfRule type="cellIs" dxfId="257" priority="302" stopIfTrue="1" operator="equal">
      <formula>"N/A"</formula>
    </cfRule>
  </conditionalFormatting>
  <conditionalFormatting sqref="AJ38:AM38">
    <cfRule type="cellIs" dxfId="256" priority="307" stopIfTrue="1" operator="equal">
      <formula>"N/A"</formula>
    </cfRule>
    <cfRule type="cellIs" dxfId="255" priority="308" stopIfTrue="1" operator="equal">
      <formula>1</formula>
    </cfRule>
    <cfRule type="cellIs" dxfId="254" priority="309" stopIfTrue="1" operator="equal">
      <formula>2</formula>
    </cfRule>
  </conditionalFormatting>
  <conditionalFormatting sqref="AG38:AI38">
    <cfRule type="cellIs" dxfId="253" priority="310" stopIfTrue="1" operator="equal">
      <formula>"N/A"</formula>
    </cfRule>
    <cfRule type="cellIs" dxfId="252" priority="311" stopIfTrue="1" operator="equal">
      <formula>"M"</formula>
    </cfRule>
    <cfRule type="cellIs" dxfId="251" priority="312" stopIfTrue="1" operator="equal">
      <formula>"O"</formula>
    </cfRule>
  </conditionalFormatting>
  <conditionalFormatting sqref="C38">
    <cfRule type="cellIs" dxfId="250" priority="306" stopIfTrue="1" operator="notEqual">
      <formula>"X"</formula>
    </cfRule>
  </conditionalFormatting>
  <conditionalFormatting sqref="E38:I38">
    <cfRule type="cellIs" dxfId="249" priority="305" stopIfTrue="1" operator="notEqual">
      <formula>"X"</formula>
    </cfRule>
  </conditionalFormatting>
  <conditionalFormatting sqref="J42:K42">
    <cfRule type="cellIs" dxfId="248" priority="276" stopIfTrue="1" operator="notEqual">
      <formula>"X"</formula>
    </cfRule>
  </conditionalFormatting>
  <conditionalFormatting sqref="P42:Q42">
    <cfRule type="cellIs" dxfId="247" priority="275" stopIfTrue="1" operator="equal">
      <formula>"N/A"</formula>
    </cfRule>
  </conditionalFormatting>
  <conditionalFormatting sqref="D38">
    <cfRule type="cellIs" dxfId="246" priority="301" stopIfTrue="1" operator="notEqual">
      <formula>"X"</formula>
    </cfRule>
  </conditionalFormatting>
  <conditionalFormatting sqref="R38">
    <cfRule type="cellIs" dxfId="245" priority="300" stopIfTrue="1" operator="equal">
      <formula>"N/A"</formula>
    </cfRule>
  </conditionalFormatting>
  <conditionalFormatting sqref="AJ54:AM54">
    <cfRule type="cellIs" dxfId="244" priority="294" stopIfTrue="1" operator="equal">
      <formula>"N/A"</formula>
    </cfRule>
    <cfRule type="cellIs" dxfId="243" priority="295" stopIfTrue="1" operator="equal">
      <formula>1</formula>
    </cfRule>
    <cfRule type="cellIs" dxfId="242" priority="296" stopIfTrue="1" operator="equal">
      <formula>2</formula>
    </cfRule>
  </conditionalFormatting>
  <conditionalFormatting sqref="AG54:AI54">
    <cfRule type="cellIs" dxfId="241" priority="297" stopIfTrue="1" operator="equal">
      <formula>"N/A"</formula>
    </cfRule>
    <cfRule type="cellIs" dxfId="240" priority="298" stopIfTrue="1" operator="equal">
      <formula>"M"</formula>
    </cfRule>
    <cfRule type="cellIs" dxfId="239" priority="299" stopIfTrue="1" operator="equal">
      <formula>"O"</formula>
    </cfRule>
  </conditionalFormatting>
  <conditionalFormatting sqref="C54">
    <cfRule type="cellIs" dxfId="238" priority="293" stopIfTrue="1" operator="notEqual">
      <formula>"X"</formula>
    </cfRule>
  </conditionalFormatting>
  <conditionalFormatting sqref="E54:I54">
    <cfRule type="cellIs" dxfId="237" priority="292" stopIfTrue="1" operator="notEqual">
      <formula>"X"</formula>
    </cfRule>
  </conditionalFormatting>
  <conditionalFormatting sqref="J54:K54">
    <cfRule type="cellIs" dxfId="236" priority="290" stopIfTrue="1" operator="notEqual">
      <formula>"X"</formula>
    </cfRule>
  </conditionalFormatting>
  <conditionalFormatting sqref="Q54">
    <cfRule type="cellIs" dxfId="235" priority="289" stopIfTrue="1" operator="equal">
      <formula>"N/A"</formula>
    </cfRule>
  </conditionalFormatting>
  <conditionalFormatting sqref="D54">
    <cfRule type="cellIs" dxfId="234" priority="288" stopIfTrue="1" operator="notEqual">
      <formula>"X"</formula>
    </cfRule>
  </conditionalFormatting>
  <conditionalFormatting sqref="J50:K50">
    <cfRule type="cellIs" dxfId="233" priority="263" stopIfTrue="1" operator="notEqual">
      <formula>"X"</formula>
    </cfRule>
  </conditionalFormatting>
  <conditionalFormatting sqref="Q50">
    <cfRule type="cellIs" dxfId="232" priority="262" stopIfTrue="1" operator="equal">
      <formula>"N/A"</formula>
    </cfRule>
  </conditionalFormatting>
  <conditionalFormatting sqref="AJ42:AM42">
    <cfRule type="cellIs" dxfId="231" priority="280" stopIfTrue="1" operator="equal">
      <formula>"N/A"</formula>
    </cfRule>
    <cfRule type="cellIs" dxfId="230" priority="281" stopIfTrue="1" operator="equal">
      <formula>1</formula>
    </cfRule>
    <cfRule type="cellIs" dxfId="229" priority="282" stopIfTrue="1" operator="equal">
      <formula>2</formula>
    </cfRule>
  </conditionalFormatting>
  <conditionalFormatting sqref="AG42:AI42">
    <cfRule type="cellIs" dxfId="228" priority="283" stopIfTrue="1" operator="equal">
      <formula>"N/A"</formula>
    </cfRule>
    <cfRule type="cellIs" dxfId="227" priority="284" stopIfTrue="1" operator="equal">
      <formula>"M"</formula>
    </cfRule>
    <cfRule type="cellIs" dxfId="226" priority="285" stopIfTrue="1" operator="equal">
      <formula>"O"</formula>
    </cfRule>
  </conditionalFormatting>
  <conditionalFormatting sqref="C42">
    <cfRule type="cellIs" dxfId="225" priority="279" stopIfTrue="1" operator="notEqual">
      <formula>"X"</formula>
    </cfRule>
  </conditionalFormatting>
  <conditionalFormatting sqref="E42:I42">
    <cfRule type="cellIs" dxfId="224" priority="278" stopIfTrue="1" operator="notEqual">
      <formula>"X"</formula>
    </cfRule>
  </conditionalFormatting>
  <conditionalFormatting sqref="D42">
    <cfRule type="cellIs" dxfId="223" priority="274" stopIfTrue="1" operator="notEqual">
      <formula>"X"</formula>
    </cfRule>
  </conditionalFormatting>
  <conditionalFormatting sqref="R40">
    <cfRule type="cellIs" dxfId="222" priority="247" stopIfTrue="1" operator="equal">
      <formula>"N/A"</formula>
    </cfRule>
  </conditionalFormatting>
  <conditionalFormatting sqref="J40:K40">
    <cfRule type="cellIs" dxfId="221" priority="250" stopIfTrue="1" operator="notEqual">
      <formula>"X"</formula>
    </cfRule>
  </conditionalFormatting>
  <conditionalFormatting sqref="P40:Q40">
    <cfRule type="cellIs" dxfId="220" priority="249" stopIfTrue="1" operator="equal">
      <formula>"N/A"</formula>
    </cfRule>
  </conditionalFormatting>
  <conditionalFormatting sqref="R44">
    <cfRule type="cellIs" dxfId="219" priority="233" stopIfTrue="1" operator="equal">
      <formula>"N/A"</formula>
    </cfRule>
  </conditionalFormatting>
  <conditionalFormatting sqref="AJ50:AM50">
    <cfRule type="cellIs" dxfId="218" priority="267" stopIfTrue="1" operator="equal">
      <formula>"N/A"</formula>
    </cfRule>
    <cfRule type="cellIs" dxfId="217" priority="268" stopIfTrue="1" operator="equal">
      <formula>1</formula>
    </cfRule>
    <cfRule type="cellIs" dxfId="216" priority="269" stopIfTrue="1" operator="equal">
      <formula>2</formula>
    </cfRule>
  </conditionalFormatting>
  <conditionalFormatting sqref="AG50:AI50">
    <cfRule type="cellIs" dxfId="215" priority="270" stopIfTrue="1" operator="equal">
      <formula>"N/A"</formula>
    </cfRule>
    <cfRule type="cellIs" dxfId="214" priority="271" stopIfTrue="1" operator="equal">
      <formula>"M"</formula>
    </cfRule>
    <cfRule type="cellIs" dxfId="213" priority="272" stopIfTrue="1" operator="equal">
      <formula>"O"</formula>
    </cfRule>
  </conditionalFormatting>
  <conditionalFormatting sqref="C50">
    <cfRule type="cellIs" dxfId="212" priority="266" stopIfTrue="1" operator="notEqual">
      <formula>"X"</formula>
    </cfRule>
  </conditionalFormatting>
  <conditionalFormatting sqref="E50:I50">
    <cfRule type="cellIs" dxfId="211" priority="265" stopIfTrue="1" operator="notEqual">
      <formula>"X"</formula>
    </cfRule>
  </conditionalFormatting>
  <conditionalFormatting sqref="D50">
    <cfRule type="cellIs" dxfId="210" priority="261" stopIfTrue="1" operator="notEqual">
      <formula>"X"</formula>
    </cfRule>
  </conditionalFormatting>
  <conditionalFormatting sqref="J52:K52">
    <cfRule type="cellIs" dxfId="209" priority="223" stopIfTrue="1" operator="notEqual">
      <formula>"X"</formula>
    </cfRule>
  </conditionalFormatting>
  <conditionalFormatting sqref="Q52">
    <cfRule type="cellIs" dxfId="208" priority="222" stopIfTrue="1" operator="equal">
      <formula>"N/A"</formula>
    </cfRule>
  </conditionalFormatting>
  <conditionalFormatting sqref="AJ40:AM40">
    <cfRule type="cellIs" dxfId="207" priority="254" stopIfTrue="1" operator="equal">
      <formula>"N/A"</formula>
    </cfRule>
    <cfRule type="cellIs" dxfId="206" priority="255" stopIfTrue="1" operator="equal">
      <formula>1</formula>
    </cfRule>
    <cfRule type="cellIs" dxfId="205" priority="256" stopIfTrue="1" operator="equal">
      <formula>2</formula>
    </cfRule>
  </conditionalFormatting>
  <conditionalFormatting sqref="AG40:AI40">
    <cfRule type="cellIs" dxfId="204" priority="257" stopIfTrue="1" operator="equal">
      <formula>"N/A"</formula>
    </cfRule>
    <cfRule type="cellIs" dxfId="203" priority="258" stopIfTrue="1" operator="equal">
      <formula>"M"</formula>
    </cfRule>
    <cfRule type="cellIs" dxfId="202" priority="259" stopIfTrue="1" operator="equal">
      <formula>"O"</formula>
    </cfRule>
  </conditionalFormatting>
  <conditionalFormatting sqref="C40">
    <cfRule type="cellIs" dxfId="201" priority="253" stopIfTrue="1" operator="notEqual">
      <formula>"X"</formula>
    </cfRule>
  </conditionalFormatting>
  <conditionalFormatting sqref="E40:I40">
    <cfRule type="cellIs" dxfId="200" priority="252" stopIfTrue="1" operator="notEqual">
      <formula>"X"</formula>
    </cfRule>
  </conditionalFormatting>
  <conditionalFormatting sqref="D40">
    <cfRule type="cellIs" dxfId="199" priority="248" stopIfTrue="1" operator="notEqual">
      <formula>"X"</formula>
    </cfRule>
  </conditionalFormatting>
  <conditionalFormatting sqref="P54">
    <cfRule type="cellIs" dxfId="198" priority="204" stopIfTrue="1" operator="equal">
      <formula>"N/A"</formula>
    </cfRule>
  </conditionalFormatting>
  <conditionalFormatting sqref="J44:K44">
    <cfRule type="cellIs" dxfId="197" priority="237" stopIfTrue="1" operator="notEqual">
      <formula>"X"</formula>
    </cfRule>
  </conditionalFormatting>
  <conditionalFormatting sqref="P44:Q44">
    <cfRule type="cellIs" dxfId="196" priority="236" stopIfTrue="1" operator="equal">
      <formula>"N/A"</formula>
    </cfRule>
  </conditionalFormatting>
  <conditionalFormatting sqref="P52">
    <cfRule type="cellIs" dxfId="195" priority="201" stopIfTrue="1" operator="equal">
      <formula>"N/A"</formula>
    </cfRule>
  </conditionalFormatting>
  <conditionalFormatting sqref="AJ44:AM44">
    <cfRule type="cellIs" dxfId="194" priority="241" stopIfTrue="1" operator="equal">
      <formula>"N/A"</formula>
    </cfRule>
    <cfRule type="cellIs" dxfId="193" priority="242" stopIfTrue="1" operator="equal">
      <formula>1</formula>
    </cfRule>
    <cfRule type="cellIs" dxfId="192" priority="243" stopIfTrue="1" operator="equal">
      <formula>2</formula>
    </cfRule>
  </conditionalFormatting>
  <conditionalFormatting sqref="AG44:AI44">
    <cfRule type="cellIs" dxfId="191" priority="244" stopIfTrue="1" operator="equal">
      <formula>"N/A"</formula>
    </cfRule>
    <cfRule type="cellIs" dxfId="190" priority="245" stopIfTrue="1" operator="equal">
      <formula>"M"</formula>
    </cfRule>
    <cfRule type="cellIs" dxfId="189" priority="246" stopIfTrue="1" operator="equal">
      <formula>"O"</formula>
    </cfRule>
  </conditionalFormatting>
  <conditionalFormatting sqref="C44">
    <cfRule type="cellIs" dxfId="188" priority="240" stopIfTrue="1" operator="notEqual">
      <formula>"X"</formula>
    </cfRule>
  </conditionalFormatting>
  <conditionalFormatting sqref="E44:I44">
    <cfRule type="cellIs" dxfId="187" priority="239" stopIfTrue="1" operator="notEqual">
      <formula>"X"</formula>
    </cfRule>
  </conditionalFormatting>
  <conditionalFormatting sqref="D44">
    <cfRule type="cellIs" dxfId="186" priority="235" stopIfTrue="1" operator="notEqual">
      <formula>"X"</formula>
    </cfRule>
  </conditionalFormatting>
  <conditionalFormatting sqref="R36">
    <cfRule type="cellIs" dxfId="185" priority="191" stopIfTrue="1" operator="equal">
      <formula>"N/A"</formula>
    </cfRule>
  </conditionalFormatting>
  <conditionalFormatting sqref="C36:K37">
    <cfRule type="cellIs" dxfId="184" priority="194" stopIfTrue="1" operator="notEqual">
      <formula>"X"</formula>
    </cfRule>
  </conditionalFormatting>
  <conditionalFormatting sqref="P50">
    <cfRule type="cellIs" dxfId="183" priority="203" stopIfTrue="1" operator="equal">
      <formula>"N/A"</formula>
    </cfRule>
  </conditionalFormatting>
  <conditionalFormatting sqref="AJ52:AM52">
    <cfRule type="cellIs" dxfId="182" priority="227" stopIfTrue="1" operator="equal">
      <formula>"N/A"</formula>
    </cfRule>
    <cfRule type="cellIs" dxfId="181" priority="228" stopIfTrue="1" operator="equal">
      <formula>1</formula>
    </cfRule>
    <cfRule type="cellIs" dxfId="180" priority="229" stopIfTrue="1" operator="equal">
      <formula>2</formula>
    </cfRule>
  </conditionalFormatting>
  <conditionalFormatting sqref="AG52:AI52">
    <cfRule type="cellIs" dxfId="179" priority="230" stopIfTrue="1" operator="equal">
      <formula>"N/A"</formula>
    </cfRule>
    <cfRule type="cellIs" dxfId="178" priority="231" stopIfTrue="1" operator="equal">
      <formula>"M"</formula>
    </cfRule>
    <cfRule type="cellIs" dxfId="177" priority="232" stopIfTrue="1" operator="equal">
      <formula>"O"</formula>
    </cfRule>
  </conditionalFormatting>
  <conditionalFormatting sqref="C52">
    <cfRule type="cellIs" dxfId="176" priority="226" stopIfTrue="1" operator="notEqual">
      <formula>"X"</formula>
    </cfRule>
  </conditionalFormatting>
  <conditionalFormatting sqref="E52:I52">
    <cfRule type="cellIs" dxfId="175" priority="225" stopIfTrue="1" operator="notEqual">
      <formula>"X"</formula>
    </cfRule>
  </conditionalFormatting>
  <conditionalFormatting sqref="D52">
    <cfRule type="cellIs" dxfId="174" priority="221" stopIfTrue="1" operator="notEqual">
      <formula>"X"</formula>
    </cfRule>
  </conditionalFormatting>
  <conditionalFormatting sqref="AJ57:AM57">
    <cfRule type="cellIs" dxfId="173" priority="214" stopIfTrue="1" operator="equal">
      <formula>"N/A"</formula>
    </cfRule>
    <cfRule type="cellIs" dxfId="172" priority="215" stopIfTrue="1" operator="equal">
      <formula>1</formula>
    </cfRule>
    <cfRule type="cellIs" dxfId="171" priority="216" stopIfTrue="1" operator="equal">
      <formula>2</formula>
    </cfRule>
  </conditionalFormatting>
  <conditionalFormatting sqref="AG57:AI57">
    <cfRule type="cellIs" dxfId="170" priority="217" stopIfTrue="1" operator="equal">
      <formula>"N/A"</formula>
    </cfRule>
    <cfRule type="cellIs" dxfId="169" priority="218" stopIfTrue="1" operator="equal">
      <formula>"M"</formula>
    </cfRule>
    <cfRule type="cellIs" dxfId="168" priority="219" stopIfTrue="1" operator="equal">
      <formula>"O"</formula>
    </cfRule>
  </conditionalFormatting>
  <conditionalFormatting sqref="C57">
    <cfRule type="cellIs" dxfId="167" priority="213" stopIfTrue="1" operator="notEqual">
      <formula>"X"</formula>
    </cfRule>
  </conditionalFormatting>
  <conditionalFormatting sqref="E57:I57">
    <cfRule type="cellIs" dxfId="166" priority="212" stopIfTrue="1" operator="notEqual">
      <formula>"X"</formula>
    </cfRule>
  </conditionalFormatting>
  <conditionalFormatting sqref="J57:K57">
    <cfRule type="cellIs" dxfId="165" priority="210" stopIfTrue="1" operator="notEqual">
      <formula>"X"</formula>
    </cfRule>
  </conditionalFormatting>
  <conditionalFormatting sqref="Q57">
    <cfRule type="cellIs" dxfId="164" priority="209" stopIfTrue="1" operator="equal">
      <formula>"N/A"</formula>
    </cfRule>
  </conditionalFormatting>
  <conditionalFormatting sqref="D57">
    <cfRule type="cellIs" dxfId="163" priority="208" stopIfTrue="1" operator="notEqual">
      <formula>"X"</formula>
    </cfRule>
  </conditionalFormatting>
  <conditionalFormatting sqref="P57">
    <cfRule type="cellIs" dxfId="162" priority="202" stopIfTrue="1" operator="equal">
      <formula>"N/A"</formula>
    </cfRule>
  </conditionalFormatting>
  <conditionalFormatting sqref="P37:Q37 Q36">
    <cfRule type="cellIs" dxfId="161" priority="193" stopIfTrue="1" operator="equal">
      <formula>"N/A"</formula>
    </cfRule>
  </conditionalFormatting>
  <conditionalFormatting sqref="AJ46:AM47">
    <cfRule type="cellIs" dxfId="160" priority="176" stopIfTrue="1" operator="equal">
      <formula>"N/A"</formula>
    </cfRule>
    <cfRule type="cellIs" dxfId="159" priority="177" stopIfTrue="1" operator="equal">
      <formula>1</formula>
    </cfRule>
    <cfRule type="cellIs" dxfId="158" priority="178" stopIfTrue="1" operator="equal">
      <formula>2</formula>
    </cfRule>
  </conditionalFormatting>
  <conditionalFormatting sqref="AG46:AI47">
    <cfRule type="cellIs" dxfId="157" priority="179" stopIfTrue="1" operator="equal">
      <formula>"N/A"</formula>
    </cfRule>
    <cfRule type="cellIs" dxfId="156" priority="180" stopIfTrue="1" operator="equal">
      <formula>"M"</formula>
    </cfRule>
    <cfRule type="cellIs" dxfId="155" priority="181" stopIfTrue="1" operator="equal">
      <formula>"O"</formula>
    </cfRule>
  </conditionalFormatting>
  <conditionalFormatting sqref="C46:K47">
    <cfRule type="cellIs" dxfId="154" priority="175" stopIfTrue="1" operator="notEqual">
      <formula>"X"</formula>
    </cfRule>
  </conditionalFormatting>
  <conditionalFormatting sqref="P47:R47 P46:Q46">
    <cfRule type="cellIs" dxfId="153" priority="174" stopIfTrue="1" operator="equal">
      <formula>"N/A"</formula>
    </cfRule>
  </conditionalFormatting>
  <conditionalFormatting sqref="AJ48:AM48">
    <cfRule type="cellIs" dxfId="152" priority="167" stopIfTrue="1" operator="equal">
      <formula>"N/A"</formula>
    </cfRule>
    <cfRule type="cellIs" dxfId="151" priority="168" stopIfTrue="1" operator="equal">
      <formula>1</formula>
    </cfRule>
    <cfRule type="cellIs" dxfId="150" priority="169" stopIfTrue="1" operator="equal">
      <formula>2</formula>
    </cfRule>
  </conditionalFormatting>
  <conditionalFormatting sqref="AG48:AI48">
    <cfRule type="cellIs" dxfId="149" priority="170" stopIfTrue="1" operator="equal">
      <formula>"N/A"</formula>
    </cfRule>
    <cfRule type="cellIs" dxfId="148" priority="171" stopIfTrue="1" operator="equal">
      <formula>"M"</formula>
    </cfRule>
    <cfRule type="cellIs" dxfId="147" priority="172" stopIfTrue="1" operator="equal">
      <formula>"O"</formula>
    </cfRule>
  </conditionalFormatting>
  <conditionalFormatting sqref="C48:K48">
    <cfRule type="cellIs" dxfId="146" priority="166" stopIfTrue="1" operator="notEqual">
      <formula>"X"</formula>
    </cfRule>
  </conditionalFormatting>
  <conditionalFormatting sqref="P48:R48">
    <cfRule type="cellIs" dxfId="145" priority="165" stopIfTrue="1" operator="equal">
      <formula>"N/A"</formula>
    </cfRule>
  </conditionalFormatting>
  <conditionalFormatting sqref="AJ53:AM53">
    <cfRule type="cellIs" dxfId="144" priority="158" stopIfTrue="1" operator="equal">
      <formula>"N/A"</formula>
    </cfRule>
    <cfRule type="cellIs" dxfId="143" priority="159" stopIfTrue="1" operator="equal">
      <formula>1</formula>
    </cfRule>
    <cfRule type="cellIs" dxfId="142" priority="160" stopIfTrue="1" operator="equal">
      <formula>2</formula>
    </cfRule>
  </conditionalFormatting>
  <conditionalFormatting sqref="AG53:AI53">
    <cfRule type="cellIs" dxfId="141" priority="161" stopIfTrue="1" operator="equal">
      <formula>"N/A"</formula>
    </cfRule>
    <cfRule type="cellIs" dxfId="140" priority="162" stopIfTrue="1" operator="equal">
      <formula>"M"</formula>
    </cfRule>
    <cfRule type="cellIs" dxfId="139" priority="163" stopIfTrue="1" operator="equal">
      <formula>"O"</formula>
    </cfRule>
  </conditionalFormatting>
  <conditionalFormatting sqref="C53:K53">
    <cfRule type="cellIs" dxfId="138" priority="157" stopIfTrue="1" operator="notEqual">
      <formula>"X"</formula>
    </cfRule>
  </conditionalFormatting>
  <conditionalFormatting sqref="Q53:R53">
    <cfRule type="cellIs" dxfId="137" priority="156" stopIfTrue="1" operator="equal">
      <formula>"N/A"</formula>
    </cfRule>
  </conditionalFormatting>
  <conditionalFormatting sqref="AJ73:AM73">
    <cfRule type="cellIs" dxfId="136" priority="149" stopIfTrue="1" operator="equal">
      <formula>"N/A"</formula>
    </cfRule>
    <cfRule type="cellIs" dxfId="135" priority="150" stopIfTrue="1" operator="equal">
      <formula>1</formula>
    </cfRule>
    <cfRule type="cellIs" dxfId="134" priority="151" stopIfTrue="1" operator="equal">
      <formula>2</formula>
    </cfRule>
  </conditionalFormatting>
  <conditionalFormatting sqref="AG73:AI73">
    <cfRule type="cellIs" dxfId="133" priority="152" stopIfTrue="1" operator="equal">
      <formula>"N/A"</formula>
    </cfRule>
    <cfRule type="cellIs" dxfId="132" priority="153" stopIfTrue="1" operator="equal">
      <formula>"M"</formula>
    </cfRule>
    <cfRule type="cellIs" dxfId="131" priority="154" stopIfTrue="1" operator="equal">
      <formula>"O"</formula>
    </cfRule>
  </conditionalFormatting>
  <conditionalFormatting sqref="C73:K73">
    <cfRule type="cellIs" dxfId="130" priority="148" stopIfTrue="1" operator="notEqual">
      <formula>"X"</formula>
    </cfRule>
  </conditionalFormatting>
  <conditionalFormatting sqref="P73:R73">
    <cfRule type="cellIs" dxfId="129" priority="147" stopIfTrue="1" operator="equal">
      <formula>"N/A"</formula>
    </cfRule>
  </conditionalFormatting>
  <conditionalFormatting sqref="AJ82:AM82">
    <cfRule type="cellIs" dxfId="128" priority="140" stopIfTrue="1" operator="equal">
      <formula>"N/A"</formula>
    </cfRule>
    <cfRule type="cellIs" dxfId="127" priority="141" stopIfTrue="1" operator="equal">
      <formula>1</formula>
    </cfRule>
    <cfRule type="cellIs" dxfId="126" priority="142" stopIfTrue="1" operator="equal">
      <formula>2</formula>
    </cfRule>
  </conditionalFormatting>
  <conditionalFormatting sqref="AG82:AI82">
    <cfRule type="cellIs" dxfId="125" priority="143" stopIfTrue="1" operator="equal">
      <formula>"N/A"</formula>
    </cfRule>
    <cfRule type="cellIs" dxfId="124" priority="144" stopIfTrue="1" operator="equal">
      <formula>"M"</formula>
    </cfRule>
    <cfRule type="cellIs" dxfId="123" priority="145" stopIfTrue="1" operator="equal">
      <formula>"O"</formula>
    </cfRule>
  </conditionalFormatting>
  <conditionalFormatting sqref="C82:D82">
    <cfRule type="cellIs" dxfId="122" priority="139" stopIfTrue="1" operator="notEqual">
      <formula>"X"</formula>
    </cfRule>
  </conditionalFormatting>
  <conditionalFormatting sqref="E82:K82">
    <cfRule type="cellIs" dxfId="121" priority="138" stopIfTrue="1" operator="notEqual">
      <formula>"X"</formula>
    </cfRule>
  </conditionalFormatting>
  <conditionalFormatting sqref="P82:R82">
    <cfRule type="cellIs" dxfId="120" priority="137" stopIfTrue="1" operator="equal">
      <formula>"N/A"</formula>
    </cfRule>
  </conditionalFormatting>
  <conditionalFormatting sqref="E82:K82">
    <cfRule type="cellIs" dxfId="119" priority="136" stopIfTrue="1" operator="notEqual">
      <formula>"X"</formula>
    </cfRule>
  </conditionalFormatting>
  <conditionalFormatting sqref="J39:K39">
    <cfRule type="cellIs" dxfId="118" priority="125" stopIfTrue="1" operator="notEqual">
      <formula>"X"</formula>
    </cfRule>
  </conditionalFormatting>
  <conditionalFormatting sqref="P39:Q39">
    <cfRule type="cellIs" dxfId="117" priority="124" stopIfTrue="1" operator="equal">
      <formula>"N/A"</formula>
    </cfRule>
  </conditionalFormatting>
  <conditionalFormatting sqref="AJ39:AM39">
    <cfRule type="cellIs" dxfId="116" priority="129" stopIfTrue="1" operator="equal">
      <formula>"N/A"</formula>
    </cfRule>
    <cfRule type="cellIs" dxfId="115" priority="130" stopIfTrue="1" operator="equal">
      <formula>1</formula>
    </cfRule>
    <cfRule type="cellIs" dxfId="114" priority="131" stopIfTrue="1" operator="equal">
      <formula>2</formula>
    </cfRule>
  </conditionalFormatting>
  <conditionalFormatting sqref="AG39:AI39">
    <cfRule type="cellIs" dxfId="113" priority="132" stopIfTrue="1" operator="equal">
      <formula>"N/A"</formula>
    </cfRule>
    <cfRule type="cellIs" dxfId="112" priority="133" stopIfTrue="1" operator="equal">
      <formula>"M"</formula>
    </cfRule>
    <cfRule type="cellIs" dxfId="111" priority="134" stopIfTrue="1" operator="equal">
      <formula>"O"</formula>
    </cfRule>
  </conditionalFormatting>
  <conditionalFormatting sqref="C39">
    <cfRule type="cellIs" dxfId="110" priority="128" stopIfTrue="1" operator="notEqual">
      <formula>"X"</formula>
    </cfRule>
  </conditionalFormatting>
  <conditionalFormatting sqref="E39:I39">
    <cfRule type="cellIs" dxfId="109" priority="127" stopIfTrue="1" operator="notEqual">
      <formula>"X"</formula>
    </cfRule>
  </conditionalFormatting>
  <conditionalFormatting sqref="D39">
    <cfRule type="cellIs" dxfId="108" priority="123" stopIfTrue="1" operator="notEqual">
      <formula>"X"</formula>
    </cfRule>
  </conditionalFormatting>
  <conditionalFormatting sqref="R39">
    <cfRule type="cellIs" dxfId="107" priority="108" stopIfTrue="1" operator="equal">
      <formula>"N/A"</formula>
    </cfRule>
  </conditionalFormatting>
  <conditionalFormatting sqref="R41">
    <cfRule type="cellIs" dxfId="106" priority="109" stopIfTrue="1" operator="equal">
      <formula>"N/A"</formula>
    </cfRule>
  </conditionalFormatting>
  <conditionalFormatting sqref="J41:K41">
    <cfRule type="cellIs" dxfId="105" priority="112" stopIfTrue="1" operator="notEqual">
      <formula>"X"</formula>
    </cfRule>
  </conditionalFormatting>
  <conditionalFormatting sqref="P41:Q41">
    <cfRule type="cellIs" dxfId="104" priority="111" stopIfTrue="1" operator="equal">
      <formula>"N/A"</formula>
    </cfRule>
  </conditionalFormatting>
  <conditionalFormatting sqref="AJ41:AM41">
    <cfRule type="cellIs" dxfId="103" priority="116" stopIfTrue="1" operator="equal">
      <formula>"N/A"</formula>
    </cfRule>
    <cfRule type="cellIs" dxfId="102" priority="117" stopIfTrue="1" operator="equal">
      <formula>1</formula>
    </cfRule>
    <cfRule type="cellIs" dxfId="101" priority="118" stopIfTrue="1" operator="equal">
      <formula>2</formula>
    </cfRule>
  </conditionalFormatting>
  <conditionalFormatting sqref="AG41:AI41">
    <cfRule type="cellIs" dxfId="100" priority="119" stopIfTrue="1" operator="equal">
      <formula>"N/A"</formula>
    </cfRule>
    <cfRule type="cellIs" dxfId="99" priority="120" stopIfTrue="1" operator="equal">
      <formula>"M"</formula>
    </cfRule>
    <cfRule type="cellIs" dxfId="98" priority="121" stopIfTrue="1" operator="equal">
      <formula>"O"</formula>
    </cfRule>
  </conditionalFormatting>
  <conditionalFormatting sqref="C41">
    <cfRule type="cellIs" dxfId="97" priority="115" stopIfTrue="1" operator="notEqual">
      <formula>"X"</formula>
    </cfRule>
  </conditionalFormatting>
  <conditionalFormatting sqref="E41:I41">
    <cfRule type="cellIs" dxfId="96" priority="114" stopIfTrue="1" operator="notEqual">
      <formula>"X"</formula>
    </cfRule>
  </conditionalFormatting>
  <conditionalFormatting sqref="D41">
    <cfRule type="cellIs" dxfId="95" priority="110" stopIfTrue="1" operator="notEqual">
      <formula>"X"</formula>
    </cfRule>
  </conditionalFormatting>
  <conditionalFormatting sqref="J43:K43">
    <cfRule type="cellIs" dxfId="94" priority="98" stopIfTrue="1" operator="notEqual">
      <formula>"X"</formula>
    </cfRule>
  </conditionalFormatting>
  <conditionalFormatting sqref="P43:Q43">
    <cfRule type="cellIs" dxfId="93" priority="97" stopIfTrue="1" operator="equal">
      <formula>"N/A"</formula>
    </cfRule>
  </conditionalFormatting>
  <conditionalFormatting sqref="AJ43:AM43">
    <cfRule type="cellIs" dxfId="92" priority="102" stopIfTrue="1" operator="equal">
      <formula>"N/A"</formula>
    </cfRule>
    <cfRule type="cellIs" dxfId="91" priority="103" stopIfTrue="1" operator="equal">
      <formula>1</formula>
    </cfRule>
    <cfRule type="cellIs" dxfId="90" priority="104" stopIfTrue="1" operator="equal">
      <formula>2</formula>
    </cfRule>
  </conditionalFormatting>
  <conditionalFormatting sqref="AG43:AI43">
    <cfRule type="cellIs" dxfId="89" priority="105" stopIfTrue="1" operator="equal">
      <formula>"N/A"</formula>
    </cfRule>
    <cfRule type="cellIs" dxfId="88" priority="106" stopIfTrue="1" operator="equal">
      <formula>"M"</formula>
    </cfRule>
    <cfRule type="cellIs" dxfId="87" priority="107" stopIfTrue="1" operator="equal">
      <formula>"O"</formula>
    </cfRule>
  </conditionalFormatting>
  <conditionalFormatting sqref="C43">
    <cfRule type="cellIs" dxfId="86" priority="101" stopIfTrue="1" operator="notEqual">
      <formula>"X"</formula>
    </cfRule>
  </conditionalFormatting>
  <conditionalFormatting sqref="E43:I43">
    <cfRule type="cellIs" dxfId="85" priority="100" stopIfTrue="1" operator="notEqual">
      <formula>"X"</formula>
    </cfRule>
  </conditionalFormatting>
  <conditionalFormatting sqref="D43">
    <cfRule type="cellIs" dxfId="84" priority="96" stopIfTrue="1" operator="notEqual">
      <formula>"X"</formula>
    </cfRule>
  </conditionalFormatting>
  <conditionalFormatting sqref="J45:K45">
    <cfRule type="cellIs" dxfId="83" priority="85" stopIfTrue="1" operator="notEqual">
      <formula>"X"</formula>
    </cfRule>
  </conditionalFormatting>
  <conditionalFormatting sqref="P45:Q45">
    <cfRule type="cellIs" dxfId="82" priority="84" stopIfTrue="1" operator="equal">
      <formula>"N/A"</formula>
    </cfRule>
  </conditionalFormatting>
  <conditionalFormatting sqref="AJ45:AM45">
    <cfRule type="cellIs" dxfId="81" priority="89" stopIfTrue="1" operator="equal">
      <formula>"N/A"</formula>
    </cfRule>
    <cfRule type="cellIs" dxfId="80" priority="90" stopIfTrue="1" operator="equal">
      <formula>1</formula>
    </cfRule>
    <cfRule type="cellIs" dxfId="79" priority="91" stopIfTrue="1" operator="equal">
      <formula>2</formula>
    </cfRule>
  </conditionalFormatting>
  <conditionalFormatting sqref="AG45:AI45">
    <cfRule type="cellIs" dxfId="78" priority="92" stopIfTrue="1" operator="equal">
      <formula>"N/A"</formula>
    </cfRule>
    <cfRule type="cellIs" dxfId="77" priority="93" stopIfTrue="1" operator="equal">
      <formula>"M"</formula>
    </cfRule>
    <cfRule type="cellIs" dxfId="76" priority="94" stopIfTrue="1" operator="equal">
      <formula>"O"</formula>
    </cfRule>
  </conditionalFormatting>
  <conditionalFormatting sqref="C45">
    <cfRule type="cellIs" dxfId="75" priority="88" stopIfTrue="1" operator="notEqual">
      <formula>"X"</formula>
    </cfRule>
  </conditionalFormatting>
  <conditionalFormatting sqref="E45:I45">
    <cfRule type="cellIs" dxfId="74" priority="87" stopIfTrue="1" operator="notEqual">
      <formula>"X"</formula>
    </cfRule>
  </conditionalFormatting>
  <conditionalFormatting sqref="D45">
    <cfRule type="cellIs" dxfId="73" priority="83" stopIfTrue="1" operator="notEqual">
      <formula>"X"</formula>
    </cfRule>
  </conditionalFormatting>
  <conditionalFormatting sqref="J49:K49">
    <cfRule type="cellIs" dxfId="72" priority="72" stopIfTrue="1" operator="notEqual">
      <formula>"X"</formula>
    </cfRule>
  </conditionalFormatting>
  <conditionalFormatting sqref="Q49">
    <cfRule type="cellIs" dxfId="71" priority="71" stopIfTrue="1" operator="equal">
      <formula>"N/A"</formula>
    </cfRule>
  </conditionalFormatting>
  <conditionalFormatting sqref="AJ49:AM49">
    <cfRule type="cellIs" dxfId="70" priority="76" stopIfTrue="1" operator="equal">
      <formula>"N/A"</formula>
    </cfRule>
    <cfRule type="cellIs" dxfId="69" priority="77" stopIfTrue="1" operator="equal">
      <formula>1</formula>
    </cfRule>
    <cfRule type="cellIs" dxfId="68" priority="78" stopIfTrue="1" operator="equal">
      <formula>2</formula>
    </cfRule>
  </conditionalFormatting>
  <conditionalFormatting sqref="AG49:AI49">
    <cfRule type="cellIs" dxfId="67" priority="79" stopIfTrue="1" operator="equal">
      <formula>"N/A"</formula>
    </cfRule>
    <cfRule type="cellIs" dxfId="66" priority="80" stopIfTrue="1" operator="equal">
      <formula>"M"</formula>
    </cfRule>
    <cfRule type="cellIs" dxfId="65" priority="81" stopIfTrue="1" operator="equal">
      <formula>"O"</formula>
    </cfRule>
  </conditionalFormatting>
  <conditionalFormatting sqref="C49">
    <cfRule type="cellIs" dxfId="64" priority="75" stopIfTrue="1" operator="notEqual">
      <formula>"X"</formula>
    </cfRule>
  </conditionalFormatting>
  <conditionalFormatting sqref="E49:I49">
    <cfRule type="cellIs" dxfId="63" priority="74" stopIfTrue="1" operator="notEqual">
      <formula>"X"</formula>
    </cfRule>
  </conditionalFormatting>
  <conditionalFormatting sqref="D49">
    <cfRule type="cellIs" dxfId="62" priority="70" stopIfTrue="1" operator="notEqual">
      <formula>"X"</formula>
    </cfRule>
  </conditionalFormatting>
  <conditionalFormatting sqref="P49">
    <cfRule type="cellIs" dxfId="61" priority="68" stopIfTrue="1" operator="equal">
      <formula>"N/A"</formula>
    </cfRule>
  </conditionalFormatting>
  <conditionalFormatting sqref="J51:K51">
    <cfRule type="cellIs" dxfId="60" priority="58" stopIfTrue="1" operator="notEqual">
      <formula>"X"</formula>
    </cfRule>
  </conditionalFormatting>
  <conditionalFormatting sqref="Q51">
    <cfRule type="cellIs" dxfId="59" priority="57" stopIfTrue="1" operator="equal">
      <formula>"N/A"</formula>
    </cfRule>
  </conditionalFormatting>
  <conditionalFormatting sqref="P51">
    <cfRule type="cellIs" dxfId="58" priority="54" stopIfTrue="1" operator="equal">
      <formula>"N/A"</formula>
    </cfRule>
  </conditionalFormatting>
  <conditionalFormatting sqref="AJ51:AM51">
    <cfRule type="cellIs" dxfId="57" priority="62" stopIfTrue="1" operator="equal">
      <formula>"N/A"</formula>
    </cfRule>
    <cfRule type="cellIs" dxfId="56" priority="63" stopIfTrue="1" operator="equal">
      <formula>1</formula>
    </cfRule>
    <cfRule type="cellIs" dxfId="55" priority="64" stopIfTrue="1" operator="equal">
      <formula>2</formula>
    </cfRule>
  </conditionalFormatting>
  <conditionalFormatting sqref="AG51:AI51">
    <cfRule type="cellIs" dxfId="54" priority="65" stopIfTrue="1" operator="equal">
      <formula>"N/A"</formula>
    </cfRule>
    <cfRule type="cellIs" dxfId="53" priority="66" stopIfTrue="1" operator="equal">
      <formula>"M"</formula>
    </cfRule>
    <cfRule type="cellIs" dxfId="52" priority="67" stopIfTrue="1" operator="equal">
      <formula>"O"</formula>
    </cfRule>
  </conditionalFormatting>
  <conditionalFormatting sqref="C51">
    <cfRule type="cellIs" dxfId="51" priority="61" stopIfTrue="1" operator="notEqual">
      <formula>"X"</formula>
    </cfRule>
  </conditionalFormatting>
  <conditionalFormatting sqref="E51:I51">
    <cfRule type="cellIs" dxfId="50" priority="60" stopIfTrue="1" operator="notEqual">
      <formula>"X"</formula>
    </cfRule>
  </conditionalFormatting>
  <conditionalFormatting sqref="D51">
    <cfRule type="cellIs" dxfId="49" priority="56" stopIfTrue="1" operator="notEqual">
      <formula>"X"</formula>
    </cfRule>
  </conditionalFormatting>
  <conditionalFormatting sqref="R51">
    <cfRule type="cellIs" dxfId="48" priority="55" stopIfTrue="1" operator="equal">
      <formula>"N/A"</formula>
    </cfRule>
  </conditionalFormatting>
  <conditionalFormatting sqref="AJ55:AM55">
    <cfRule type="cellIs" dxfId="47" priority="48" stopIfTrue="1" operator="equal">
      <formula>"N/A"</formula>
    </cfRule>
    <cfRule type="cellIs" dxfId="46" priority="49" stopIfTrue="1" operator="equal">
      <formula>1</formula>
    </cfRule>
    <cfRule type="cellIs" dxfId="45" priority="50" stopIfTrue="1" operator="equal">
      <formula>2</formula>
    </cfRule>
  </conditionalFormatting>
  <conditionalFormatting sqref="AG55:AI55">
    <cfRule type="cellIs" dxfId="44" priority="51" stopIfTrue="1" operator="equal">
      <formula>"N/A"</formula>
    </cfRule>
    <cfRule type="cellIs" dxfId="43" priority="52" stopIfTrue="1" operator="equal">
      <formula>"M"</formula>
    </cfRule>
    <cfRule type="cellIs" dxfId="42" priority="53" stopIfTrue="1" operator="equal">
      <formula>"O"</formula>
    </cfRule>
  </conditionalFormatting>
  <conditionalFormatting sqref="C55">
    <cfRule type="cellIs" dxfId="41" priority="47" stopIfTrue="1" operator="notEqual">
      <formula>"X"</formula>
    </cfRule>
  </conditionalFormatting>
  <conditionalFormatting sqref="E55:I55">
    <cfRule type="cellIs" dxfId="40" priority="46" stopIfTrue="1" operator="notEqual">
      <formula>"X"</formula>
    </cfRule>
  </conditionalFormatting>
  <conditionalFormatting sqref="J55:K55">
    <cfRule type="cellIs" dxfId="39" priority="44" stopIfTrue="1" operator="notEqual">
      <formula>"X"</formula>
    </cfRule>
  </conditionalFormatting>
  <conditionalFormatting sqref="Q55">
    <cfRule type="cellIs" dxfId="38" priority="43" stopIfTrue="1" operator="equal">
      <formula>"N/A"</formula>
    </cfRule>
  </conditionalFormatting>
  <conditionalFormatting sqref="D55">
    <cfRule type="cellIs" dxfId="37" priority="42" stopIfTrue="1" operator="notEqual">
      <formula>"X"</formula>
    </cfRule>
  </conditionalFormatting>
  <conditionalFormatting sqref="P55">
    <cfRule type="cellIs" dxfId="36" priority="40" stopIfTrue="1" operator="equal">
      <formula>"N/A"</formula>
    </cfRule>
  </conditionalFormatting>
  <conditionalFormatting sqref="AJ56:AM56">
    <cfRule type="cellIs" dxfId="35" priority="34" stopIfTrue="1" operator="equal">
      <formula>"N/A"</formula>
    </cfRule>
    <cfRule type="cellIs" dxfId="34" priority="35" stopIfTrue="1" operator="equal">
      <formula>1</formula>
    </cfRule>
    <cfRule type="cellIs" dxfId="33" priority="36" stopIfTrue="1" operator="equal">
      <formula>2</formula>
    </cfRule>
  </conditionalFormatting>
  <conditionalFormatting sqref="AG56:AI56">
    <cfRule type="cellIs" dxfId="32" priority="37" stopIfTrue="1" operator="equal">
      <formula>"N/A"</formula>
    </cfRule>
    <cfRule type="cellIs" dxfId="31" priority="38" stopIfTrue="1" operator="equal">
      <formula>"M"</formula>
    </cfRule>
    <cfRule type="cellIs" dxfId="30" priority="39" stopIfTrue="1" operator="equal">
      <formula>"O"</formula>
    </cfRule>
  </conditionalFormatting>
  <conditionalFormatting sqref="C56">
    <cfRule type="cellIs" dxfId="29" priority="33" stopIfTrue="1" operator="notEqual">
      <formula>"X"</formula>
    </cfRule>
  </conditionalFormatting>
  <conditionalFormatting sqref="E56:I56">
    <cfRule type="cellIs" dxfId="28" priority="32" stopIfTrue="1" operator="notEqual">
      <formula>"X"</formula>
    </cfRule>
  </conditionalFormatting>
  <conditionalFormatting sqref="J56:K56">
    <cfRule type="cellIs" dxfId="27" priority="30" stopIfTrue="1" operator="notEqual">
      <formula>"X"</formula>
    </cfRule>
  </conditionalFormatting>
  <conditionalFormatting sqref="Q56">
    <cfRule type="cellIs" dxfId="26" priority="29" stopIfTrue="1" operator="equal">
      <formula>"N/A"</formula>
    </cfRule>
  </conditionalFormatting>
  <conditionalFormatting sqref="D56">
    <cfRule type="cellIs" dxfId="25" priority="28" stopIfTrue="1" operator="notEqual">
      <formula>"X"</formula>
    </cfRule>
  </conditionalFormatting>
  <conditionalFormatting sqref="P56">
    <cfRule type="cellIs" dxfId="24" priority="26" stopIfTrue="1" operator="equal">
      <formula>"N/A"</formula>
    </cfRule>
  </conditionalFormatting>
  <conditionalFormatting sqref="R56">
    <cfRule type="cellIs" dxfId="23" priority="27" stopIfTrue="1" operator="equal">
      <formula>"N/A"</formula>
    </cfRule>
  </conditionalFormatting>
  <conditionalFormatting sqref="R42">
    <cfRule type="cellIs" dxfId="22" priority="25" stopIfTrue="1" operator="equal">
      <formula>"N/A"</formula>
    </cfRule>
  </conditionalFormatting>
  <conditionalFormatting sqref="R49">
    <cfRule type="cellIs" dxfId="21" priority="24" stopIfTrue="1" operator="equal">
      <formula>"N/A"</formula>
    </cfRule>
  </conditionalFormatting>
  <conditionalFormatting sqref="R54">
    <cfRule type="cellIs" dxfId="20" priority="23" stopIfTrue="1" operator="equal">
      <formula>"N/A"</formula>
    </cfRule>
  </conditionalFormatting>
  <conditionalFormatting sqref="R45">
    <cfRule type="cellIs" dxfId="19" priority="22" stopIfTrue="1" operator="equal">
      <formula>"N/A"</formula>
    </cfRule>
  </conditionalFormatting>
  <conditionalFormatting sqref="R52">
    <cfRule type="cellIs" dxfId="18" priority="21" stopIfTrue="1" operator="equal">
      <formula>"N/A"</formula>
    </cfRule>
  </conditionalFormatting>
  <conditionalFormatting sqref="R57">
    <cfRule type="cellIs" dxfId="17" priority="20" stopIfTrue="1" operator="equal">
      <formula>"N/A"</formula>
    </cfRule>
  </conditionalFormatting>
  <conditionalFormatting sqref="R43">
    <cfRule type="cellIs" dxfId="16" priority="19" stopIfTrue="1" operator="equal">
      <formula>"N/A"</formula>
    </cfRule>
  </conditionalFormatting>
  <conditionalFormatting sqref="R50">
    <cfRule type="cellIs" dxfId="15" priority="18" stopIfTrue="1" operator="equal">
      <formula>"N/A"</formula>
    </cfRule>
  </conditionalFormatting>
  <conditionalFormatting sqref="R55">
    <cfRule type="cellIs" dxfId="14" priority="17" stopIfTrue="1" operator="equal">
      <formula>"N/A"</formula>
    </cfRule>
  </conditionalFormatting>
  <conditionalFormatting sqref="R118">
    <cfRule type="cellIs" dxfId="13" priority="15" stopIfTrue="1" operator="equal">
      <formula>"N/A"</formula>
    </cfRule>
  </conditionalFormatting>
  <conditionalFormatting sqref="R119">
    <cfRule type="cellIs" dxfId="12" priority="14" stopIfTrue="1" operator="equal">
      <formula>"N/A"</formula>
    </cfRule>
  </conditionalFormatting>
  <conditionalFormatting sqref="AJ108:AM108">
    <cfRule type="cellIs" dxfId="11" priority="11" stopIfTrue="1" operator="equal">
      <formula>"N/A"</formula>
    </cfRule>
    <cfRule type="cellIs" dxfId="10" priority="12" stopIfTrue="1" operator="equal">
      <formula>1</formula>
    </cfRule>
    <cfRule type="cellIs" dxfId="9" priority="13" stopIfTrue="1" operator="equal">
      <formula>2</formula>
    </cfRule>
  </conditionalFormatting>
  <conditionalFormatting sqref="AG108:AI108">
    <cfRule type="cellIs" dxfId="8" priority="8" stopIfTrue="1" operator="equal">
      <formula>"N/A"</formula>
    </cfRule>
    <cfRule type="cellIs" dxfId="7" priority="9" stopIfTrue="1" operator="equal">
      <formula>"M"</formula>
    </cfRule>
    <cfRule type="cellIs" dxfId="6" priority="10" stopIfTrue="1" operator="equal">
      <formula>"O"</formula>
    </cfRule>
  </conditionalFormatting>
  <conditionalFormatting sqref="C108">
    <cfRule type="cellIs" dxfId="5" priority="7" stopIfTrue="1" operator="notEqual">
      <formula>"X"</formula>
    </cfRule>
  </conditionalFormatting>
  <conditionalFormatting sqref="E108:K108">
    <cfRule type="cellIs" dxfId="4" priority="6" stopIfTrue="1" operator="notEqual">
      <formula>"X"</formula>
    </cfRule>
  </conditionalFormatting>
  <conditionalFormatting sqref="Q108">
    <cfRule type="cellIs" dxfId="3" priority="5" stopIfTrue="1" operator="equal">
      <formula>"N/A"</formula>
    </cfRule>
  </conditionalFormatting>
  <conditionalFormatting sqref="D108">
    <cfRule type="cellIs" dxfId="2" priority="3" stopIfTrue="1" operator="notEqual">
      <formula>"X"</formula>
    </cfRule>
  </conditionalFormatting>
  <conditionalFormatting sqref="P108">
    <cfRule type="cellIs" dxfId="1" priority="2" stopIfTrue="1" operator="equal">
      <formula>"N/A"</formula>
    </cfRule>
  </conditionalFormatting>
  <conditionalFormatting sqref="R108">
    <cfRule type="cellIs" dxfId="0" priority="1" stopIfTrue="1" operator="equal">
      <formula>"N/A"</formula>
    </cfRule>
  </conditionalFormatting>
  <dataValidations count="7">
    <dataValidation sqref="O18"/>
    <dataValidation type="list" sqref="O17">
      <formula1>$O$6:$O$10</formula1>
    </dataValidation>
    <dataValidation type="list" sqref="O16">
      <formula1>$N$6:$N$12</formula1>
    </dataValidation>
    <dataValidation type="list" sqref="U18:Z18 U16:Z16">
      <formula1>$P$6:$P$11</formula1>
    </dataValidation>
    <dataValidation type="list" allowBlank="1" showInputMessage="1" showErrorMessage="1" sqref="P6:P13">
      <formula1>$P$6:$P$13</formula1>
    </dataValidation>
    <dataValidation type="list" sqref="S18 S16">
      <formula1>$P$6:$P$13</formula1>
    </dataValidation>
    <dataValidation allowBlank="1" sqref="AG112:AG123 AG21:AH92 AG93:AG110 AH93:AH123"/>
  </dataValidations>
  <printOptions horizontalCentered="1"/>
  <pageMargins left="0.39370078740157483" right="0.39370078740157483" top="0.39370078740157483" bottom="0.39370078740157483" header="0.31496062992125984" footer="0.19685039370078741"/>
  <pageSetup paperSize="9" scale="24" fitToHeight="45" orientation="landscape" horizontalDpi="4294967293" r:id="rId1"/>
  <headerFooter alignWithMargins="0">
    <oddHeader>&amp;R&amp;G</oddHeader>
    <oddFooter>&amp;L&amp;16Observaciones:&amp;R&amp;"Tahoma,Normal"&amp;16Página &amp;P de &amp;N</oddFooter>
  </headerFooter>
  <rowBreaks count="1" manualBreakCount="1">
    <brk id="66" max="16383" man="1"/>
  </rowBreaks>
  <cellWatches>
    <cellWatch r="O17"/>
    <cellWatch r="S16"/>
  </cellWatches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SCHEDULE</vt:lpstr>
      <vt:lpstr>SCHEDULE!Print_Area</vt:lpstr>
      <vt:lpstr>SCHEDULE!Print_Titles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guicarde</cp:lastModifiedBy>
  <cp:lastPrinted>2015-09-24T21:40:39Z</cp:lastPrinted>
  <dcterms:created xsi:type="dcterms:W3CDTF">2006-12-31T01:02:16Z</dcterms:created>
  <dcterms:modified xsi:type="dcterms:W3CDTF">2017-04-27T03:50:24Z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-1546343130</vt:i4>
  </property>
  <property fmtid="{D5CDD505-2E9C-101B-9397-08002B2CF9AE}" pid="3" name="_EmailSubject">
    <vt:lpwstr>FW: Fw: RV: SCM-SNP: Monitoreo de Procesos      CrÃ­ticos de Abastecimiento</vt:lpwstr>
  </property>
  <property fmtid="{D5CDD505-2E9C-101B-9397-08002B2CF9AE}" pid="4" name="_AuthorEmail">
    <vt:lpwstr>mariza@its-csi.com.pe</vt:lpwstr>
  </property>
  <property fmtid="{D5CDD505-2E9C-101B-9397-08002B2CF9AE}" pid="5" name="_AuthorEmailDisplayName">
    <vt:lpwstr>Miguel Ariza</vt:lpwstr>
  </property>
  <property fmtid="{D5CDD505-2E9C-101B-9397-08002B2CF9AE}" pid="6" name="_ReviewingToolsShownOnce">
    <vt:lpwstr/>
  </property>
</Properties>
</file>